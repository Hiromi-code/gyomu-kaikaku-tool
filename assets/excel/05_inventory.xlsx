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【IJI】 Dropbox\mitsugi hiromi\グローカル研究所\自動販売ツール\業務改革\制作物\"/>
    </mc:Choice>
  </mc:AlternateContent>
  <xr:revisionPtr revIDLastSave="0" documentId="13_ncr:1_{204DC1A9-0FA9-467A-A5BC-FC5D2C1B468E}" xr6:coauthVersionLast="47" xr6:coauthVersionMax="47" xr10:uidLastSave="{00000000-0000-0000-0000-000000000000}"/>
  <bookViews>
    <workbookView xWindow="57480" yWindow="15990" windowWidth="29040" windowHeight="15720" tabRatio="500" activeTab="6" xr2:uid="{00000000-000D-0000-FFFF-FFFF00000000}"/>
  </bookViews>
  <sheets>
    <sheet name="📋 使い方ガイド" sheetId="1" r:id="rId1"/>
    <sheet name="①商品マスタ" sheetId="2" r:id="rId2"/>
    <sheet name="②仕入先マスタ" sheetId="3" r:id="rId3"/>
    <sheet name="③入庫管理" sheetId="4" r:id="rId4"/>
    <sheet name="④出庫管理" sheetId="5" r:id="rId5"/>
    <sheet name="⑤在庫残高" sheetId="6" r:id="rId6"/>
    <sheet name="⑥棚卸しシート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5" i="7" l="1"/>
  <c r="A105" i="7"/>
  <c r="A104" i="7"/>
  <c r="B103" i="7"/>
  <c r="A103" i="7"/>
  <c r="B102" i="7"/>
  <c r="B101" i="7"/>
  <c r="A101" i="7"/>
  <c r="B100" i="7"/>
  <c r="A100" i="7"/>
  <c r="A99" i="7"/>
  <c r="B96" i="7"/>
  <c r="A96" i="7"/>
  <c r="B95" i="7"/>
  <c r="A95" i="7"/>
  <c r="A94" i="7"/>
  <c r="A91" i="7"/>
  <c r="B90" i="7"/>
  <c r="A90" i="7"/>
  <c r="A89" i="7"/>
  <c r="A88" i="7"/>
  <c r="A85" i="7"/>
  <c r="A84" i="7"/>
  <c r="B82" i="7"/>
  <c r="B81" i="7"/>
  <c r="A80" i="7"/>
  <c r="A79" i="7"/>
  <c r="A76" i="7"/>
  <c r="B75" i="7"/>
  <c r="A75" i="7"/>
  <c r="A74" i="7"/>
  <c r="B70" i="7"/>
  <c r="A70" i="7"/>
  <c r="B69" i="7"/>
  <c r="A69" i="7"/>
  <c r="B67" i="7"/>
  <c r="A65" i="7"/>
  <c r="A64" i="7"/>
  <c r="A63" i="7"/>
  <c r="A61" i="7"/>
  <c r="A60" i="7"/>
  <c r="A59" i="7"/>
  <c r="B57" i="7"/>
  <c r="B55" i="7"/>
  <c r="A55" i="7"/>
  <c r="B54" i="7"/>
  <c r="A54" i="7"/>
  <c r="A51" i="7"/>
  <c r="A50" i="7"/>
  <c r="B49" i="7"/>
  <c r="A49" i="7"/>
  <c r="A45" i="7"/>
  <c r="A44" i="7"/>
  <c r="B42" i="7"/>
  <c r="B40" i="7"/>
  <c r="A40" i="7"/>
  <c r="A39" i="7"/>
  <c r="A35" i="7"/>
  <c r="A34" i="7"/>
  <c r="B32" i="7"/>
  <c r="A30" i="7"/>
  <c r="B29" i="7"/>
  <c r="A29" i="7"/>
  <c r="A25" i="7"/>
  <c r="A24" i="7"/>
  <c r="A23" i="7"/>
  <c r="B22" i="7"/>
  <c r="B20" i="7"/>
  <c r="A20" i="7"/>
  <c r="A19" i="7"/>
  <c r="B17" i="7"/>
  <c r="A16" i="7"/>
  <c r="A15" i="7"/>
  <c r="B14" i="7"/>
  <c r="A14" i="7"/>
  <c r="A11" i="7"/>
  <c r="A10" i="7"/>
  <c r="A9" i="7"/>
  <c r="A8" i="7"/>
  <c r="B7" i="7"/>
  <c r="B5" i="7"/>
  <c r="A5" i="7"/>
  <c r="D106" i="6"/>
  <c r="C106" i="6"/>
  <c r="B106" i="6"/>
  <c r="B107" i="7" s="1"/>
  <c r="A106" i="6"/>
  <c r="F105" i="6"/>
  <c r="D105" i="6"/>
  <c r="C105" i="6"/>
  <c r="B105" i="6"/>
  <c r="B106" i="7" s="1"/>
  <c r="A105" i="6"/>
  <c r="F104" i="6"/>
  <c r="E104" i="6"/>
  <c r="G104" i="6" s="1"/>
  <c r="C105" i="7" s="1"/>
  <c r="E105" i="7" s="1"/>
  <c r="D104" i="6"/>
  <c r="C104" i="6"/>
  <c r="B104" i="6"/>
  <c r="A104" i="6"/>
  <c r="F103" i="6"/>
  <c r="E103" i="6"/>
  <c r="G103" i="6" s="1"/>
  <c r="D103" i="6"/>
  <c r="C103" i="6"/>
  <c r="B103" i="6"/>
  <c r="B104" i="7" s="1"/>
  <c r="A103" i="6"/>
  <c r="F102" i="6"/>
  <c r="E102" i="6"/>
  <c r="G102" i="6" s="1"/>
  <c r="C103" i="7" s="1"/>
  <c r="E103" i="7" s="1"/>
  <c r="D102" i="6"/>
  <c r="C102" i="6"/>
  <c r="B102" i="6"/>
  <c r="A102" i="6"/>
  <c r="D101" i="6"/>
  <c r="C101" i="6"/>
  <c r="B101" i="6"/>
  <c r="A101" i="6"/>
  <c r="F100" i="6"/>
  <c r="D100" i="6"/>
  <c r="C100" i="6"/>
  <c r="B100" i="6"/>
  <c r="A100" i="6"/>
  <c r="F99" i="6"/>
  <c r="E99" i="6"/>
  <c r="G99" i="6" s="1"/>
  <c r="C100" i="7" s="1"/>
  <c r="E100" i="7" s="1"/>
  <c r="D99" i="6"/>
  <c r="C99" i="6"/>
  <c r="H99" i="6" s="1"/>
  <c r="B99" i="6"/>
  <c r="A99" i="6"/>
  <c r="F98" i="6"/>
  <c r="E98" i="6"/>
  <c r="G98" i="6" s="1"/>
  <c r="D98" i="6"/>
  <c r="C98" i="6"/>
  <c r="B98" i="6"/>
  <c r="B99" i="7" s="1"/>
  <c r="A98" i="6"/>
  <c r="F97" i="6"/>
  <c r="D97" i="6"/>
  <c r="C97" i="6"/>
  <c r="B97" i="6"/>
  <c r="B98" i="7" s="1"/>
  <c r="A97" i="6"/>
  <c r="D96" i="6"/>
  <c r="C96" i="6"/>
  <c r="B96" i="6"/>
  <c r="B97" i="7" s="1"/>
  <c r="A96" i="6"/>
  <c r="D95" i="6"/>
  <c r="C95" i="6"/>
  <c r="B95" i="6"/>
  <c r="A95" i="6"/>
  <c r="F94" i="6"/>
  <c r="E94" i="6"/>
  <c r="G94" i="6" s="1"/>
  <c r="C95" i="7" s="1"/>
  <c r="E95" i="7" s="1"/>
  <c r="D94" i="6"/>
  <c r="C94" i="6"/>
  <c r="B94" i="6"/>
  <c r="A94" i="6"/>
  <c r="F93" i="6"/>
  <c r="E93" i="6"/>
  <c r="G93" i="6" s="1"/>
  <c r="D93" i="6"/>
  <c r="C93" i="6"/>
  <c r="B93" i="6"/>
  <c r="B94" i="7" s="1"/>
  <c r="A93" i="6"/>
  <c r="D92" i="6"/>
  <c r="C92" i="6"/>
  <c r="B92" i="6"/>
  <c r="B93" i="7" s="1"/>
  <c r="A92" i="6"/>
  <c r="D91" i="6"/>
  <c r="C91" i="6"/>
  <c r="B91" i="6"/>
  <c r="B92" i="7" s="1"/>
  <c r="A91" i="6"/>
  <c r="F90" i="6"/>
  <c r="D90" i="6"/>
  <c r="C90" i="6"/>
  <c r="B90" i="6"/>
  <c r="B91" i="7" s="1"/>
  <c r="A90" i="6"/>
  <c r="F89" i="6"/>
  <c r="E89" i="6"/>
  <c r="G89" i="6" s="1"/>
  <c r="C90" i="7" s="1"/>
  <c r="E90" i="7" s="1"/>
  <c r="D89" i="6"/>
  <c r="C89" i="6"/>
  <c r="B89" i="6"/>
  <c r="A89" i="6"/>
  <c r="F88" i="6"/>
  <c r="E88" i="6"/>
  <c r="G88" i="6" s="1"/>
  <c r="D88" i="6"/>
  <c r="C88" i="6"/>
  <c r="B88" i="6"/>
  <c r="B89" i="7" s="1"/>
  <c r="A88" i="6"/>
  <c r="F87" i="6"/>
  <c r="E87" i="6"/>
  <c r="G87" i="6" s="1"/>
  <c r="C88" i="7" s="1"/>
  <c r="E88" i="7" s="1"/>
  <c r="D87" i="6"/>
  <c r="C87" i="6"/>
  <c r="B87" i="6"/>
  <c r="B88" i="7" s="1"/>
  <c r="A87" i="6"/>
  <c r="D86" i="6"/>
  <c r="C86" i="6"/>
  <c r="B86" i="6"/>
  <c r="B87" i="7" s="1"/>
  <c r="A86" i="6"/>
  <c r="D85" i="6"/>
  <c r="C85" i="6"/>
  <c r="B85" i="6"/>
  <c r="B86" i="7" s="1"/>
  <c r="A85" i="6"/>
  <c r="F84" i="6"/>
  <c r="E84" i="6"/>
  <c r="G84" i="6" s="1"/>
  <c r="C85" i="7" s="1"/>
  <c r="E85" i="7" s="1"/>
  <c r="D84" i="6"/>
  <c r="C84" i="6"/>
  <c r="B84" i="6"/>
  <c r="B85" i="7" s="1"/>
  <c r="A84" i="6"/>
  <c r="F83" i="6"/>
  <c r="E83" i="6"/>
  <c r="G83" i="6" s="1"/>
  <c r="D83" i="6"/>
  <c r="C83" i="6"/>
  <c r="B83" i="6"/>
  <c r="B84" i="7" s="1"/>
  <c r="A83" i="6"/>
  <c r="D82" i="6"/>
  <c r="C82" i="6"/>
  <c r="B82" i="6"/>
  <c r="B83" i="7" s="1"/>
  <c r="A82" i="6"/>
  <c r="D81" i="6"/>
  <c r="C81" i="6"/>
  <c r="B81" i="6"/>
  <c r="A81" i="6"/>
  <c r="D80" i="6"/>
  <c r="C80" i="6"/>
  <c r="B80" i="6"/>
  <c r="A80" i="6"/>
  <c r="A81" i="7" s="1"/>
  <c r="H79" i="6"/>
  <c r="F79" i="6"/>
  <c r="E79" i="6"/>
  <c r="G79" i="6" s="1"/>
  <c r="C80" i="7" s="1"/>
  <c r="E80" i="7" s="1"/>
  <c r="D79" i="6"/>
  <c r="C79" i="6"/>
  <c r="B79" i="6"/>
  <c r="B80" i="7" s="1"/>
  <c r="A79" i="6"/>
  <c r="F78" i="6"/>
  <c r="G78" i="6" s="1"/>
  <c r="E78" i="6"/>
  <c r="D78" i="6"/>
  <c r="C78" i="6"/>
  <c r="B78" i="6"/>
  <c r="B79" i="7" s="1"/>
  <c r="A78" i="6"/>
  <c r="D77" i="6"/>
  <c r="C77" i="6"/>
  <c r="B77" i="6"/>
  <c r="B78" i="7" s="1"/>
  <c r="A77" i="6"/>
  <c r="D76" i="6"/>
  <c r="C76" i="6"/>
  <c r="B76" i="6"/>
  <c r="B77" i="7" s="1"/>
  <c r="A76" i="6"/>
  <c r="F75" i="6"/>
  <c r="D75" i="6"/>
  <c r="C75" i="6"/>
  <c r="B75" i="6"/>
  <c r="B76" i="7" s="1"/>
  <c r="A75" i="6"/>
  <c r="F74" i="6"/>
  <c r="E74" i="6"/>
  <c r="G74" i="6" s="1"/>
  <c r="C75" i="7" s="1"/>
  <c r="E75" i="7" s="1"/>
  <c r="D74" i="6"/>
  <c r="C74" i="6"/>
  <c r="B74" i="6"/>
  <c r="A74" i="6"/>
  <c r="G73" i="6"/>
  <c r="H73" i="6" s="1"/>
  <c r="F73" i="6"/>
  <c r="E73" i="6"/>
  <c r="D73" i="6"/>
  <c r="C73" i="6"/>
  <c r="B73" i="6"/>
  <c r="B74" i="7" s="1"/>
  <c r="A73" i="6"/>
  <c r="G72" i="6"/>
  <c r="C73" i="7" s="1"/>
  <c r="E73" i="7" s="1"/>
  <c r="F72" i="6"/>
  <c r="E72" i="6"/>
  <c r="D72" i="6"/>
  <c r="C72" i="6"/>
  <c r="B72" i="6"/>
  <c r="B73" i="7" s="1"/>
  <c r="A72" i="6"/>
  <c r="D71" i="6"/>
  <c r="C71" i="6"/>
  <c r="B71" i="6"/>
  <c r="B72" i="7" s="1"/>
  <c r="A71" i="6"/>
  <c r="D70" i="6"/>
  <c r="C70" i="6"/>
  <c r="B70" i="6"/>
  <c r="B71" i="7" s="1"/>
  <c r="A70" i="6"/>
  <c r="F69" i="6"/>
  <c r="E69" i="6"/>
  <c r="D69" i="6"/>
  <c r="C69" i="6"/>
  <c r="B69" i="6"/>
  <c r="A69" i="6"/>
  <c r="G68" i="6"/>
  <c r="H68" i="6" s="1"/>
  <c r="F68" i="6"/>
  <c r="E68" i="6"/>
  <c r="D68" i="6"/>
  <c r="C68" i="6"/>
  <c r="B68" i="6"/>
  <c r="A68" i="6"/>
  <c r="D67" i="6"/>
  <c r="C67" i="6"/>
  <c r="B67" i="6"/>
  <c r="B68" i="7" s="1"/>
  <c r="A67" i="6"/>
  <c r="D66" i="6"/>
  <c r="C66" i="6"/>
  <c r="B66" i="6"/>
  <c r="A66" i="6"/>
  <c r="D65" i="6"/>
  <c r="C65" i="6"/>
  <c r="B65" i="6"/>
  <c r="B66" i="7" s="1"/>
  <c r="A65" i="6"/>
  <c r="F64" i="6"/>
  <c r="E64" i="6"/>
  <c r="G64" i="6" s="1"/>
  <c r="C65" i="7" s="1"/>
  <c r="E65" i="7" s="1"/>
  <c r="D64" i="6"/>
  <c r="C64" i="6"/>
  <c r="H64" i="6" s="1"/>
  <c r="B64" i="6"/>
  <c r="B65" i="7" s="1"/>
  <c r="A64" i="6"/>
  <c r="F63" i="6"/>
  <c r="E63" i="6"/>
  <c r="G63" i="6" s="1"/>
  <c r="D63" i="6"/>
  <c r="C63" i="6"/>
  <c r="B63" i="6"/>
  <c r="B64" i="7" s="1"/>
  <c r="A63" i="6"/>
  <c r="F62" i="6"/>
  <c r="E62" i="6"/>
  <c r="G62" i="6" s="1"/>
  <c r="C63" i="7" s="1"/>
  <c r="E63" i="7" s="1"/>
  <c r="D62" i="6"/>
  <c r="C62" i="6"/>
  <c r="B62" i="6"/>
  <c r="B63" i="7" s="1"/>
  <c r="A62" i="6"/>
  <c r="D61" i="6"/>
  <c r="C61" i="6"/>
  <c r="B61" i="6"/>
  <c r="B62" i="7" s="1"/>
  <c r="A61" i="6"/>
  <c r="F60" i="6"/>
  <c r="D60" i="6"/>
  <c r="C60" i="6"/>
  <c r="B60" i="6"/>
  <c r="B61" i="7" s="1"/>
  <c r="A60" i="6"/>
  <c r="H59" i="6"/>
  <c r="F59" i="6"/>
  <c r="E59" i="6"/>
  <c r="G59" i="6" s="1"/>
  <c r="C60" i="7" s="1"/>
  <c r="E60" i="7" s="1"/>
  <c r="D59" i="6"/>
  <c r="C59" i="6"/>
  <c r="B59" i="6"/>
  <c r="B60" i="7" s="1"/>
  <c r="A59" i="6"/>
  <c r="F58" i="6"/>
  <c r="E58" i="6"/>
  <c r="G58" i="6" s="1"/>
  <c r="D58" i="6"/>
  <c r="C58" i="6"/>
  <c r="B58" i="6"/>
  <c r="B59" i="7" s="1"/>
  <c r="A58" i="6"/>
  <c r="F57" i="6"/>
  <c r="D57" i="6"/>
  <c r="C57" i="6"/>
  <c r="B57" i="6"/>
  <c r="B58" i="7" s="1"/>
  <c r="A57" i="6"/>
  <c r="A58" i="7" s="1"/>
  <c r="F56" i="6"/>
  <c r="D56" i="6"/>
  <c r="C56" i="6"/>
  <c r="B56" i="6"/>
  <c r="A56" i="6"/>
  <c r="D55" i="6"/>
  <c r="C55" i="6"/>
  <c r="B55" i="6"/>
  <c r="B56" i="7" s="1"/>
  <c r="A55" i="6"/>
  <c r="A56" i="7" s="1"/>
  <c r="F54" i="6"/>
  <c r="E54" i="6"/>
  <c r="G54" i="6" s="1"/>
  <c r="C55" i="7" s="1"/>
  <c r="E55" i="7" s="1"/>
  <c r="D54" i="6"/>
  <c r="C54" i="6"/>
  <c r="H54" i="6" s="1"/>
  <c r="B54" i="6"/>
  <c r="A54" i="6"/>
  <c r="F53" i="6"/>
  <c r="E53" i="6"/>
  <c r="G53" i="6" s="1"/>
  <c r="D53" i="6"/>
  <c r="C53" i="6"/>
  <c r="B53" i="6"/>
  <c r="A53" i="6"/>
  <c r="D52" i="6"/>
  <c r="C52" i="6"/>
  <c r="B52" i="6"/>
  <c r="B53" i="7" s="1"/>
  <c r="A52" i="6"/>
  <c r="F51" i="6"/>
  <c r="D51" i="6"/>
  <c r="C51" i="6"/>
  <c r="B51" i="6"/>
  <c r="B52" i="7" s="1"/>
  <c r="A51" i="6"/>
  <c r="F50" i="6"/>
  <c r="D50" i="6"/>
  <c r="C50" i="6"/>
  <c r="B50" i="6"/>
  <c r="B51" i="7" s="1"/>
  <c r="A50" i="6"/>
  <c r="F49" i="6"/>
  <c r="E49" i="6"/>
  <c r="G49" i="6" s="1"/>
  <c r="C50" i="7" s="1"/>
  <c r="E50" i="7" s="1"/>
  <c r="D49" i="6"/>
  <c r="C49" i="6"/>
  <c r="H49" i="6" s="1"/>
  <c r="B49" i="6"/>
  <c r="B50" i="7" s="1"/>
  <c r="A49" i="6"/>
  <c r="F48" i="6"/>
  <c r="E48" i="6"/>
  <c r="G48" i="6" s="1"/>
  <c r="D48" i="6"/>
  <c r="C48" i="6"/>
  <c r="B48" i="6"/>
  <c r="A48" i="6"/>
  <c r="F47" i="6"/>
  <c r="D47" i="6"/>
  <c r="C47" i="6"/>
  <c r="B47" i="6"/>
  <c r="B48" i="7" s="1"/>
  <c r="A47" i="6"/>
  <c r="A48" i="7" s="1"/>
  <c r="D46" i="6"/>
  <c r="C46" i="6"/>
  <c r="B46" i="6"/>
  <c r="B47" i="7" s="1"/>
  <c r="A46" i="6"/>
  <c r="D45" i="6"/>
  <c r="C45" i="6"/>
  <c r="B45" i="6"/>
  <c r="B46" i="7" s="1"/>
  <c r="A45" i="6"/>
  <c r="F44" i="6"/>
  <c r="E44" i="6"/>
  <c r="D44" i="6"/>
  <c r="C44" i="6"/>
  <c r="B44" i="6"/>
  <c r="B45" i="7" s="1"/>
  <c r="A44" i="6"/>
  <c r="F43" i="6"/>
  <c r="E43" i="6"/>
  <c r="G43" i="6" s="1"/>
  <c r="D43" i="6"/>
  <c r="C43" i="6"/>
  <c r="B43" i="6"/>
  <c r="B44" i="7" s="1"/>
  <c r="A43" i="6"/>
  <c r="F42" i="6"/>
  <c r="D42" i="6"/>
  <c r="C42" i="6"/>
  <c r="B42" i="6"/>
  <c r="B43" i="7" s="1"/>
  <c r="A42" i="6"/>
  <c r="A43" i="7" s="1"/>
  <c r="D41" i="6"/>
  <c r="C41" i="6"/>
  <c r="B41" i="6"/>
  <c r="A41" i="6"/>
  <c r="D40" i="6"/>
  <c r="C40" i="6"/>
  <c r="B40" i="6"/>
  <c r="B41" i="7" s="1"/>
  <c r="A40" i="6"/>
  <c r="F39" i="6"/>
  <c r="E39" i="6"/>
  <c r="G39" i="6" s="1"/>
  <c r="C40" i="7" s="1"/>
  <c r="E40" i="7" s="1"/>
  <c r="D39" i="6"/>
  <c r="C39" i="6"/>
  <c r="H39" i="6" s="1"/>
  <c r="B39" i="6"/>
  <c r="A39" i="6"/>
  <c r="H38" i="6"/>
  <c r="G38" i="6"/>
  <c r="C39" i="7" s="1"/>
  <c r="E39" i="7" s="1"/>
  <c r="F38" i="6"/>
  <c r="E38" i="6"/>
  <c r="D38" i="6"/>
  <c r="C38" i="6"/>
  <c r="B38" i="6"/>
  <c r="B39" i="7" s="1"/>
  <c r="A38" i="6"/>
  <c r="F37" i="6"/>
  <c r="E37" i="6"/>
  <c r="G37" i="6" s="1"/>
  <c r="C38" i="7" s="1"/>
  <c r="E38" i="7" s="1"/>
  <c r="D37" i="6"/>
  <c r="C37" i="6"/>
  <c r="B37" i="6"/>
  <c r="B38" i="7" s="1"/>
  <c r="A37" i="6"/>
  <c r="A38" i="7" s="1"/>
  <c r="F36" i="6"/>
  <c r="D36" i="6"/>
  <c r="C36" i="6"/>
  <c r="B36" i="6"/>
  <c r="B37" i="7" s="1"/>
  <c r="A36" i="6"/>
  <c r="D35" i="6"/>
  <c r="C35" i="6"/>
  <c r="B35" i="6"/>
  <c r="B36" i="7" s="1"/>
  <c r="A35" i="6"/>
  <c r="F34" i="6"/>
  <c r="E34" i="6"/>
  <c r="G34" i="6" s="1"/>
  <c r="C35" i="7" s="1"/>
  <c r="E35" i="7" s="1"/>
  <c r="D34" i="6"/>
  <c r="C34" i="6"/>
  <c r="H34" i="6" s="1"/>
  <c r="B34" i="6"/>
  <c r="B35" i="7" s="1"/>
  <c r="A34" i="6"/>
  <c r="F33" i="6"/>
  <c r="E33" i="6"/>
  <c r="G33" i="6" s="1"/>
  <c r="D33" i="6"/>
  <c r="C33" i="6"/>
  <c r="B33" i="6"/>
  <c r="B34" i="7" s="1"/>
  <c r="A33" i="6"/>
  <c r="D32" i="6"/>
  <c r="C32" i="6"/>
  <c r="B32" i="6"/>
  <c r="B33" i="7" s="1"/>
  <c r="A32" i="6"/>
  <c r="D31" i="6"/>
  <c r="C31" i="6"/>
  <c r="B31" i="6"/>
  <c r="A31" i="6"/>
  <c r="F31" i="6" s="1"/>
  <c r="D30" i="6"/>
  <c r="C30" i="6"/>
  <c r="B30" i="6"/>
  <c r="B31" i="7" s="1"/>
  <c r="A30" i="6"/>
  <c r="A31" i="7" s="1"/>
  <c r="H29" i="6"/>
  <c r="F29" i="6"/>
  <c r="E29" i="6"/>
  <c r="G29" i="6" s="1"/>
  <c r="C30" i="7" s="1"/>
  <c r="E30" i="7" s="1"/>
  <c r="D29" i="6"/>
  <c r="C29" i="6"/>
  <c r="B29" i="6"/>
  <c r="B30" i="7" s="1"/>
  <c r="A29" i="6"/>
  <c r="F28" i="6"/>
  <c r="G28" i="6" s="1"/>
  <c r="E28" i="6"/>
  <c r="D28" i="6"/>
  <c r="C28" i="6"/>
  <c r="B28" i="6"/>
  <c r="A28" i="6"/>
  <c r="F27" i="6"/>
  <c r="D27" i="6"/>
  <c r="C27" i="6"/>
  <c r="B27" i="6"/>
  <c r="B28" i="7" s="1"/>
  <c r="A27" i="6"/>
  <c r="A28" i="7" s="1"/>
  <c r="D26" i="6"/>
  <c r="C26" i="6"/>
  <c r="B26" i="6"/>
  <c r="B27" i="7" s="1"/>
  <c r="A26" i="6"/>
  <c r="F25" i="6"/>
  <c r="D25" i="6"/>
  <c r="C25" i="6"/>
  <c r="B25" i="6"/>
  <c r="B26" i="7" s="1"/>
  <c r="A25" i="6"/>
  <c r="A26" i="7" s="1"/>
  <c r="F24" i="6"/>
  <c r="E24" i="6"/>
  <c r="G24" i="6" s="1"/>
  <c r="C25" i="7" s="1"/>
  <c r="E25" i="7" s="1"/>
  <c r="D24" i="6"/>
  <c r="C24" i="6"/>
  <c r="B24" i="6"/>
  <c r="B25" i="7" s="1"/>
  <c r="A24" i="6"/>
  <c r="G23" i="6"/>
  <c r="C24" i="7" s="1"/>
  <c r="E24" i="7" s="1"/>
  <c r="F23" i="6"/>
  <c r="E23" i="6"/>
  <c r="D23" i="6"/>
  <c r="C23" i="6"/>
  <c r="B23" i="6"/>
  <c r="B24" i="7" s="1"/>
  <c r="A23" i="6"/>
  <c r="G22" i="6"/>
  <c r="C23" i="7" s="1"/>
  <c r="E23" i="7" s="1"/>
  <c r="F22" i="6"/>
  <c r="E22" i="6"/>
  <c r="D22" i="6"/>
  <c r="C22" i="6"/>
  <c r="B22" i="6"/>
  <c r="B23" i="7" s="1"/>
  <c r="A22" i="6"/>
  <c r="F21" i="6"/>
  <c r="D21" i="6"/>
  <c r="C21" i="6"/>
  <c r="B21" i="6"/>
  <c r="A21" i="6"/>
  <c r="D20" i="6"/>
  <c r="C20" i="6"/>
  <c r="B20" i="6"/>
  <c r="B21" i="7" s="1"/>
  <c r="A20" i="6"/>
  <c r="A21" i="7" s="1"/>
  <c r="F19" i="6"/>
  <c r="E19" i="6"/>
  <c r="D19" i="6"/>
  <c r="C19" i="6"/>
  <c r="B19" i="6"/>
  <c r="A19" i="6"/>
  <c r="G18" i="6"/>
  <c r="C19" i="7" s="1"/>
  <c r="E19" i="7" s="1"/>
  <c r="F18" i="6"/>
  <c r="E18" i="6"/>
  <c r="D18" i="6"/>
  <c r="C18" i="6"/>
  <c r="B18" i="6"/>
  <c r="B19" i="7" s="1"/>
  <c r="A18" i="6"/>
  <c r="D17" i="6"/>
  <c r="C17" i="6"/>
  <c r="B17" i="6"/>
  <c r="B18" i="7" s="1"/>
  <c r="A17" i="6"/>
  <c r="D16" i="6"/>
  <c r="C16" i="6"/>
  <c r="B16" i="6"/>
  <c r="A16" i="6"/>
  <c r="D15" i="6"/>
  <c r="C15" i="6"/>
  <c r="B15" i="6"/>
  <c r="B16" i="7" s="1"/>
  <c r="A15" i="6"/>
  <c r="F14" i="6"/>
  <c r="E14" i="6"/>
  <c r="G14" i="6" s="1"/>
  <c r="C15" i="7" s="1"/>
  <c r="E15" i="7" s="1"/>
  <c r="D14" i="6"/>
  <c r="C14" i="6"/>
  <c r="H14" i="6" s="1"/>
  <c r="B14" i="6"/>
  <c r="B15" i="7" s="1"/>
  <c r="A14" i="6"/>
  <c r="F13" i="6"/>
  <c r="E13" i="6"/>
  <c r="G13" i="6" s="1"/>
  <c r="D13" i="6"/>
  <c r="C13" i="6"/>
  <c r="B13" i="6"/>
  <c r="A13" i="6"/>
  <c r="F12" i="6"/>
  <c r="E12" i="6"/>
  <c r="D12" i="6"/>
  <c r="C12" i="6"/>
  <c r="B12" i="6"/>
  <c r="B13" i="7" s="1"/>
  <c r="A12" i="6"/>
  <c r="D11" i="6"/>
  <c r="C11" i="6"/>
  <c r="B11" i="6"/>
  <c r="B12" i="7" s="1"/>
  <c r="A11" i="6"/>
  <c r="F10" i="6"/>
  <c r="D10" i="6"/>
  <c r="C10" i="6"/>
  <c r="B10" i="6"/>
  <c r="B11" i="7" s="1"/>
  <c r="A10" i="6"/>
  <c r="H9" i="6"/>
  <c r="F9" i="6"/>
  <c r="E9" i="6"/>
  <c r="G9" i="6" s="1"/>
  <c r="C10" i="7" s="1"/>
  <c r="E10" i="7" s="1"/>
  <c r="D9" i="6"/>
  <c r="C9" i="6"/>
  <c r="B9" i="6"/>
  <c r="B10" i="7" s="1"/>
  <c r="A9" i="6"/>
  <c r="F8" i="6"/>
  <c r="E8" i="6"/>
  <c r="G8" i="6" s="1"/>
  <c r="D8" i="6"/>
  <c r="C8" i="6"/>
  <c r="B8" i="6"/>
  <c r="B9" i="7" s="1"/>
  <c r="A8" i="6"/>
  <c r="F7" i="6"/>
  <c r="D7" i="6"/>
  <c r="C7" i="6"/>
  <c r="B7" i="6"/>
  <c r="B8" i="7" s="1"/>
  <c r="A7" i="6"/>
  <c r="H6" i="6"/>
  <c r="F6" i="6"/>
  <c r="D6" i="6"/>
  <c r="C6" i="6"/>
  <c r="B6" i="6"/>
  <c r="A6" i="6"/>
  <c r="D5" i="6"/>
  <c r="C5" i="6"/>
  <c r="B5" i="6"/>
  <c r="B6" i="7" s="1"/>
  <c r="A5" i="6"/>
  <c r="F5" i="6" s="1"/>
  <c r="F4" i="6"/>
  <c r="E4" i="6"/>
  <c r="G4" i="6" s="1"/>
  <c r="C5" i="7" s="1"/>
  <c r="E5" i="7" s="1"/>
  <c r="D4" i="6"/>
  <c r="C4" i="6"/>
  <c r="H4" i="6" s="1"/>
  <c r="B4" i="6"/>
  <c r="A4" i="6"/>
  <c r="F203" i="5"/>
  <c r="G203" i="5" s="1"/>
  <c r="D203" i="5"/>
  <c r="G202" i="5"/>
  <c r="F202" i="5"/>
  <c r="D202" i="5"/>
  <c r="G201" i="5"/>
  <c r="F201" i="5"/>
  <c r="D201" i="5"/>
  <c r="F200" i="5"/>
  <c r="G200" i="5" s="1"/>
  <c r="D200" i="5"/>
  <c r="G199" i="5"/>
  <c r="F199" i="5"/>
  <c r="D199" i="5"/>
  <c r="G198" i="5"/>
  <c r="F198" i="5"/>
  <c r="D198" i="5"/>
  <c r="G197" i="5"/>
  <c r="F197" i="5"/>
  <c r="D197" i="5"/>
  <c r="F196" i="5"/>
  <c r="G196" i="5" s="1"/>
  <c r="D196" i="5"/>
  <c r="F195" i="5"/>
  <c r="G195" i="5" s="1"/>
  <c r="D195" i="5"/>
  <c r="F194" i="5"/>
  <c r="G194" i="5" s="1"/>
  <c r="D194" i="5"/>
  <c r="F193" i="5"/>
  <c r="G193" i="5" s="1"/>
  <c r="D193" i="5"/>
  <c r="F192" i="5"/>
  <c r="G192" i="5" s="1"/>
  <c r="D192" i="5"/>
  <c r="F191" i="5"/>
  <c r="G191" i="5" s="1"/>
  <c r="D191" i="5"/>
  <c r="F190" i="5"/>
  <c r="G190" i="5" s="1"/>
  <c r="D190" i="5"/>
  <c r="G189" i="5"/>
  <c r="F189" i="5"/>
  <c r="D189" i="5"/>
  <c r="G188" i="5"/>
  <c r="F188" i="5"/>
  <c r="D188" i="5"/>
  <c r="F187" i="5"/>
  <c r="G187" i="5" s="1"/>
  <c r="D187" i="5"/>
  <c r="G186" i="5"/>
  <c r="F186" i="5"/>
  <c r="D186" i="5"/>
  <c r="F185" i="5"/>
  <c r="G185" i="5" s="1"/>
  <c r="D185" i="5"/>
  <c r="F184" i="5"/>
  <c r="G184" i="5" s="1"/>
  <c r="D184" i="5"/>
  <c r="F183" i="5"/>
  <c r="G183" i="5" s="1"/>
  <c r="D183" i="5"/>
  <c r="G182" i="5"/>
  <c r="F182" i="5"/>
  <c r="D182" i="5"/>
  <c r="G181" i="5"/>
  <c r="F181" i="5"/>
  <c r="D181" i="5"/>
  <c r="G180" i="5"/>
  <c r="F180" i="5"/>
  <c r="D180" i="5"/>
  <c r="G179" i="5"/>
  <c r="F179" i="5"/>
  <c r="D179" i="5"/>
  <c r="F178" i="5"/>
  <c r="G178" i="5" s="1"/>
  <c r="D178" i="5"/>
  <c r="G177" i="5"/>
  <c r="F177" i="5"/>
  <c r="D177" i="5"/>
  <c r="G176" i="5"/>
  <c r="F176" i="5"/>
  <c r="D176" i="5"/>
  <c r="F175" i="5"/>
  <c r="G175" i="5" s="1"/>
  <c r="D175" i="5"/>
  <c r="F174" i="5"/>
  <c r="G174" i="5" s="1"/>
  <c r="D174" i="5"/>
  <c r="G173" i="5"/>
  <c r="F173" i="5"/>
  <c r="D173" i="5"/>
  <c r="F172" i="5"/>
  <c r="G172" i="5" s="1"/>
  <c r="D172" i="5"/>
  <c r="F171" i="5"/>
  <c r="G171" i="5" s="1"/>
  <c r="D171" i="5"/>
  <c r="F170" i="5"/>
  <c r="G170" i="5" s="1"/>
  <c r="D170" i="5"/>
  <c r="G169" i="5"/>
  <c r="F169" i="5"/>
  <c r="D169" i="5"/>
  <c r="F168" i="5"/>
  <c r="G168" i="5" s="1"/>
  <c r="D168" i="5"/>
  <c r="F167" i="5"/>
  <c r="G167" i="5" s="1"/>
  <c r="D167" i="5"/>
  <c r="G166" i="5"/>
  <c r="F166" i="5"/>
  <c r="D166" i="5"/>
  <c r="F165" i="5"/>
  <c r="G165" i="5" s="1"/>
  <c r="D165" i="5"/>
  <c r="F164" i="5"/>
  <c r="G164" i="5" s="1"/>
  <c r="D164" i="5"/>
  <c r="G163" i="5"/>
  <c r="F163" i="5"/>
  <c r="D163" i="5"/>
  <c r="G162" i="5"/>
  <c r="F162" i="5"/>
  <c r="D162" i="5"/>
  <c r="G161" i="5"/>
  <c r="F161" i="5"/>
  <c r="D161" i="5"/>
  <c r="F160" i="5"/>
  <c r="G160" i="5" s="1"/>
  <c r="D160" i="5"/>
  <c r="G159" i="5"/>
  <c r="F159" i="5"/>
  <c r="D159" i="5"/>
  <c r="G158" i="5"/>
  <c r="F158" i="5"/>
  <c r="D158" i="5"/>
  <c r="G157" i="5"/>
  <c r="F157" i="5"/>
  <c r="D157" i="5"/>
  <c r="F156" i="5"/>
  <c r="G156" i="5" s="1"/>
  <c r="D156" i="5"/>
  <c r="F155" i="5"/>
  <c r="G155" i="5" s="1"/>
  <c r="D155" i="5"/>
  <c r="F154" i="5"/>
  <c r="G154" i="5" s="1"/>
  <c r="D154" i="5"/>
  <c r="F153" i="5"/>
  <c r="G153" i="5" s="1"/>
  <c r="D153" i="5"/>
  <c r="F152" i="5"/>
  <c r="G152" i="5" s="1"/>
  <c r="D152" i="5"/>
  <c r="F151" i="5"/>
  <c r="G151" i="5" s="1"/>
  <c r="D151" i="5"/>
  <c r="F150" i="5"/>
  <c r="G150" i="5" s="1"/>
  <c r="D150" i="5"/>
  <c r="F149" i="5"/>
  <c r="G149" i="5" s="1"/>
  <c r="D149" i="5"/>
  <c r="F148" i="5"/>
  <c r="G148" i="5" s="1"/>
  <c r="D148" i="5"/>
  <c r="F147" i="5"/>
  <c r="G147" i="5" s="1"/>
  <c r="D147" i="5"/>
  <c r="G146" i="5"/>
  <c r="F146" i="5"/>
  <c r="D146" i="5"/>
  <c r="G145" i="5"/>
  <c r="F145" i="5"/>
  <c r="D145" i="5"/>
  <c r="G144" i="5"/>
  <c r="F144" i="5"/>
  <c r="D144" i="5"/>
  <c r="F143" i="5"/>
  <c r="G143" i="5" s="1"/>
  <c r="D143" i="5"/>
  <c r="F142" i="5"/>
  <c r="G142" i="5" s="1"/>
  <c r="D142" i="5"/>
  <c r="G141" i="5"/>
  <c r="F141" i="5"/>
  <c r="D141" i="5"/>
  <c r="G140" i="5"/>
  <c r="F140" i="5"/>
  <c r="D140" i="5"/>
  <c r="G139" i="5"/>
  <c r="F139" i="5"/>
  <c r="D139" i="5"/>
  <c r="G138" i="5"/>
  <c r="F138" i="5"/>
  <c r="D138" i="5"/>
  <c r="G137" i="5"/>
  <c r="F137" i="5"/>
  <c r="D137" i="5"/>
  <c r="F136" i="5"/>
  <c r="G136" i="5" s="1"/>
  <c r="D136" i="5"/>
  <c r="G135" i="5"/>
  <c r="F135" i="5"/>
  <c r="D135" i="5"/>
  <c r="F134" i="5"/>
  <c r="G134" i="5" s="1"/>
  <c r="D134" i="5"/>
  <c r="G133" i="5"/>
  <c r="F133" i="5"/>
  <c r="D133" i="5"/>
  <c r="F132" i="5"/>
  <c r="G132" i="5" s="1"/>
  <c r="D132" i="5"/>
  <c r="G131" i="5"/>
  <c r="F131" i="5"/>
  <c r="D131" i="5"/>
  <c r="F130" i="5"/>
  <c r="G130" i="5" s="1"/>
  <c r="D130" i="5"/>
  <c r="G129" i="5"/>
  <c r="F129" i="5"/>
  <c r="D129" i="5"/>
  <c r="F128" i="5"/>
  <c r="G128" i="5" s="1"/>
  <c r="D128" i="5"/>
  <c r="F127" i="5"/>
  <c r="G127" i="5" s="1"/>
  <c r="D127" i="5"/>
  <c r="G126" i="5"/>
  <c r="F126" i="5"/>
  <c r="D126" i="5"/>
  <c r="F125" i="5"/>
  <c r="G125" i="5" s="1"/>
  <c r="D125" i="5"/>
  <c r="F124" i="5"/>
  <c r="G124" i="5" s="1"/>
  <c r="D124" i="5"/>
  <c r="F123" i="5"/>
  <c r="G123" i="5" s="1"/>
  <c r="D123" i="5"/>
  <c r="G122" i="5"/>
  <c r="F122" i="5"/>
  <c r="D122" i="5"/>
  <c r="G121" i="5"/>
  <c r="F121" i="5"/>
  <c r="D121" i="5"/>
  <c r="F120" i="5"/>
  <c r="G120" i="5" s="1"/>
  <c r="D120" i="5"/>
  <c r="G119" i="5"/>
  <c r="F119" i="5"/>
  <c r="D119" i="5"/>
  <c r="G118" i="5"/>
  <c r="F118" i="5"/>
  <c r="D118" i="5"/>
  <c r="G117" i="5"/>
  <c r="F117" i="5"/>
  <c r="D117" i="5"/>
  <c r="G116" i="5"/>
  <c r="F116" i="5"/>
  <c r="D116" i="5"/>
  <c r="F115" i="5"/>
  <c r="G115" i="5" s="1"/>
  <c r="D115" i="5"/>
  <c r="F114" i="5"/>
  <c r="G114" i="5" s="1"/>
  <c r="D114" i="5"/>
  <c r="F113" i="5"/>
  <c r="G113" i="5" s="1"/>
  <c r="D113" i="5"/>
  <c r="F112" i="5"/>
  <c r="G112" i="5" s="1"/>
  <c r="D112" i="5"/>
  <c r="F111" i="5"/>
  <c r="G111" i="5" s="1"/>
  <c r="D111" i="5"/>
  <c r="F110" i="5"/>
  <c r="G110" i="5" s="1"/>
  <c r="D110" i="5"/>
  <c r="G109" i="5"/>
  <c r="F109" i="5"/>
  <c r="D109" i="5"/>
  <c r="F108" i="5"/>
  <c r="G108" i="5" s="1"/>
  <c r="D108" i="5"/>
  <c r="F107" i="5"/>
  <c r="G107" i="5" s="1"/>
  <c r="D107" i="5"/>
  <c r="F106" i="5"/>
  <c r="G106" i="5" s="1"/>
  <c r="D106" i="5"/>
  <c r="F105" i="5"/>
  <c r="G105" i="5" s="1"/>
  <c r="D105" i="5"/>
  <c r="G104" i="5"/>
  <c r="F104" i="5"/>
  <c r="D104" i="5"/>
  <c r="F103" i="5"/>
  <c r="G103" i="5" s="1"/>
  <c r="D103" i="5"/>
  <c r="G102" i="5"/>
  <c r="F102" i="5"/>
  <c r="D102" i="5"/>
  <c r="G101" i="5"/>
  <c r="F101" i="5"/>
  <c r="D101" i="5"/>
  <c r="F100" i="5"/>
  <c r="G100" i="5" s="1"/>
  <c r="D100" i="5"/>
  <c r="G99" i="5"/>
  <c r="F99" i="5"/>
  <c r="D99" i="5"/>
  <c r="G98" i="5"/>
  <c r="F98" i="5"/>
  <c r="D98" i="5"/>
  <c r="G97" i="5"/>
  <c r="F97" i="5"/>
  <c r="D97" i="5"/>
  <c r="F96" i="5"/>
  <c r="G96" i="5" s="1"/>
  <c r="D96" i="5"/>
  <c r="F95" i="5"/>
  <c r="G95" i="5" s="1"/>
  <c r="D95" i="5"/>
  <c r="F94" i="5"/>
  <c r="G94" i="5" s="1"/>
  <c r="D94" i="5"/>
  <c r="F93" i="5"/>
  <c r="G93" i="5" s="1"/>
  <c r="D93" i="5"/>
  <c r="F92" i="5"/>
  <c r="G92" i="5" s="1"/>
  <c r="D92" i="5"/>
  <c r="F91" i="5"/>
  <c r="G91" i="5" s="1"/>
  <c r="D91" i="5"/>
  <c r="F90" i="5"/>
  <c r="G90" i="5" s="1"/>
  <c r="D90" i="5"/>
  <c r="G89" i="5"/>
  <c r="F89" i="5"/>
  <c r="D89" i="5"/>
  <c r="G88" i="5"/>
  <c r="F88" i="5"/>
  <c r="D88" i="5"/>
  <c r="F87" i="5"/>
  <c r="G87" i="5" s="1"/>
  <c r="D87" i="5"/>
  <c r="G86" i="5"/>
  <c r="F86" i="5"/>
  <c r="D86" i="5"/>
  <c r="F85" i="5"/>
  <c r="G85" i="5" s="1"/>
  <c r="D85" i="5"/>
  <c r="F84" i="5"/>
  <c r="G84" i="5" s="1"/>
  <c r="D84" i="5"/>
  <c r="F83" i="5"/>
  <c r="G83" i="5" s="1"/>
  <c r="D83" i="5"/>
  <c r="G82" i="5"/>
  <c r="F82" i="5"/>
  <c r="D82" i="5"/>
  <c r="G81" i="5"/>
  <c r="F81" i="5"/>
  <c r="D81" i="5"/>
  <c r="G80" i="5"/>
  <c r="F80" i="5"/>
  <c r="D80" i="5"/>
  <c r="G79" i="5"/>
  <c r="F79" i="5"/>
  <c r="D79" i="5"/>
  <c r="F78" i="5"/>
  <c r="G78" i="5" s="1"/>
  <c r="D78" i="5"/>
  <c r="G77" i="5"/>
  <c r="F77" i="5"/>
  <c r="D77" i="5"/>
  <c r="G76" i="5"/>
  <c r="F76" i="5"/>
  <c r="D76" i="5"/>
  <c r="F75" i="5"/>
  <c r="G75" i="5" s="1"/>
  <c r="D75" i="5"/>
  <c r="F74" i="5"/>
  <c r="G74" i="5" s="1"/>
  <c r="D74" i="5"/>
  <c r="G73" i="5"/>
  <c r="F73" i="5"/>
  <c r="D73" i="5"/>
  <c r="F72" i="5"/>
  <c r="G72" i="5" s="1"/>
  <c r="D72" i="5"/>
  <c r="F71" i="5"/>
  <c r="G71" i="5" s="1"/>
  <c r="D71" i="5"/>
  <c r="F70" i="5"/>
  <c r="G70" i="5" s="1"/>
  <c r="D70" i="5"/>
  <c r="G69" i="5"/>
  <c r="F69" i="5"/>
  <c r="D69" i="5"/>
  <c r="F68" i="5"/>
  <c r="G68" i="5" s="1"/>
  <c r="D68" i="5"/>
  <c r="F67" i="5"/>
  <c r="G67" i="5" s="1"/>
  <c r="D67" i="5"/>
  <c r="G66" i="5"/>
  <c r="F66" i="5"/>
  <c r="D66" i="5"/>
  <c r="F65" i="5"/>
  <c r="G65" i="5" s="1"/>
  <c r="D65" i="5"/>
  <c r="F64" i="5"/>
  <c r="G64" i="5" s="1"/>
  <c r="D64" i="5"/>
  <c r="G63" i="5"/>
  <c r="F63" i="5"/>
  <c r="D63" i="5"/>
  <c r="G62" i="5"/>
  <c r="F62" i="5"/>
  <c r="D62" i="5"/>
  <c r="G61" i="5"/>
  <c r="F61" i="5"/>
  <c r="D61" i="5"/>
  <c r="F60" i="5"/>
  <c r="G60" i="5" s="1"/>
  <c r="D60" i="5"/>
  <c r="G59" i="5"/>
  <c r="F59" i="5"/>
  <c r="D59" i="5"/>
  <c r="G58" i="5"/>
  <c r="F58" i="5"/>
  <c r="D58" i="5"/>
  <c r="G57" i="5"/>
  <c r="F57" i="5"/>
  <c r="D57" i="5"/>
  <c r="F56" i="5"/>
  <c r="G56" i="5" s="1"/>
  <c r="D56" i="5"/>
  <c r="F55" i="5"/>
  <c r="G55" i="5" s="1"/>
  <c r="D55" i="5"/>
  <c r="F54" i="5"/>
  <c r="G54" i="5" s="1"/>
  <c r="D54" i="5"/>
  <c r="F53" i="5"/>
  <c r="G53" i="5" s="1"/>
  <c r="D53" i="5"/>
  <c r="F52" i="5"/>
  <c r="G52" i="5" s="1"/>
  <c r="D52" i="5"/>
  <c r="F51" i="5"/>
  <c r="G51" i="5" s="1"/>
  <c r="D51" i="5"/>
  <c r="F50" i="5"/>
  <c r="G50" i="5" s="1"/>
  <c r="D50" i="5"/>
  <c r="F49" i="5"/>
  <c r="G49" i="5" s="1"/>
  <c r="D49" i="5"/>
  <c r="F48" i="5"/>
  <c r="G48" i="5" s="1"/>
  <c r="D48" i="5"/>
  <c r="F47" i="5"/>
  <c r="G47" i="5" s="1"/>
  <c r="D47" i="5"/>
  <c r="G46" i="5"/>
  <c r="F46" i="5"/>
  <c r="D46" i="5"/>
  <c r="G45" i="5"/>
  <c r="F45" i="5"/>
  <c r="D45" i="5"/>
  <c r="G44" i="5"/>
  <c r="F44" i="5"/>
  <c r="D44" i="5"/>
  <c r="F43" i="5"/>
  <c r="G43" i="5" s="1"/>
  <c r="D43" i="5"/>
  <c r="F42" i="5"/>
  <c r="G42" i="5" s="1"/>
  <c r="D42" i="5"/>
  <c r="G41" i="5"/>
  <c r="F41" i="5"/>
  <c r="D41" i="5"/>
  <c r="G40" i="5"/>
  <c r="F40" i="5"/>
  <c r="D40" i="5"/>
  <c r="G39" i="5"/>
  <c r="F39" i="5"/>
  <c r="D39" i="5"/>
  <c r="G38" i="5"/>
  <c r="F38" i="5"/>
  <c r="D38" i="5"/>
  <c r="G37" i="5"/>
  <c r="F37" i="5"/>
  <c r="D37" i="5"/>
  <c r="F36" i="5"/>
  <c r="G36" i="5" s="1"/>
  <c r="D36" i="5"/>
  <c r="G35" i="5"/>
  <c r="F35" i="5"/>
  <c r="D35" i="5"/>
  <c r="F34" i="5"/>
  <c r="G34" i="5" s="1"/>
  <c r="D34" i="5"/>
  <c r="G33" i="5"/>
  <c r="F33" i="5"/>
  <c r="D33" i="5"/>
  <c r="F32" i="5"/>
  <c r="G32" i="5" s="1"/>
  <c r="D32" i="5"/>
  <c r="G31" i="5"/>
  <c r="F31" i="5"/>
  <c r="D31" i="5"/>
  <c r="F30" i="5"/>
  <c r="G30" i="5" s="1"/>
  <c r="D30" i="5"/>
  <c r="G29" i="5"/>
  <c r="F29" i="5"/>
  <c r="D29" i="5"/>
  <c r="F28" i="5"/>
  <c r="G28" i="5" s="1"/>
  <c r="D28" i="5"/>
  <c r="F27" i="5"/>
  <c r="G27" i="5" s="1"/>
  <c r="D27" i="5"/>
  <c r="G26" i="5"/>
  <c r="F26" i="5"/>
  <c r="D26" i="5"/>
  <c r="F25" i="5"/>
  <c r="G25" i="5" s="1"/>
  <c r="D25" i="5"/>
  <c r="F24" i="5"/>
  <c r="G24" i="5" s="1"/>
  <c r="D24" i="5"/>
  <c r="F23" i="5"/>
  <c r="G23" i="5" s="1"/>
  <c r="D23" i="5"/>
  <c r="G22" i="5"/>
  <c r="F22" i="5"/>
  <c r="D22" i="5"/>
  <c r="G21" i="5"/>
  <c r="F21" i="5"/>
  <c r="D21" i="5"/>
  <c r="F20" i="5"/>
  <c r="G20" i="5" s="1"/>
  <c r="D20" i="5"/>
  <c r="G19" i="5"/>
  <c r="F19" i="5"/>
  <c r="D19" i="5"/>
  <c r="G18" i="5"/>
  <c r="F18" i="5"/>
  <c r="D18" i="5"/>
  <c r="G17" i="5"/>
  <c r="F17" i="5"/>
  <c r="D17" i="5"/>
  <c r="G16" i="5"/>
  <c r="F16" i="5"/>
  <c r="D16" i="5"/>
  <c r="F15" i="5"/>
  <c r="G15" i="5" s="1"/>
  <c r="D15" i="5"/>
  <c r="F14" i="5"/>
  <c r="G14" i="5" s="1"/>
  <c r="D14" i="5"/>
  <c r="F13" i="5"/>
  <c r="G13" i="5" s="1"/>
  <c r="D13" i="5"/>
  <c r="F12" i="5"/>
  <c r="G12" i="5" s="1"/>
  <c r="D12" i="5"/>
  <c r="F11" i="5"/>
  <c r="G11" i="5" s="1"/>
  <c r="D11" i="5"/>
  <c r="F10" i="5"/>
  <c r="G10" i="5" s="1"/>
  <c r="D10" i="5"/>
  <c r="G9" i="5"/>
  <c r="F9" i="5"/>
  <c r="D9" i="5"/>
  <c r="F8" i="5"/>
  <c r="G8" i="5" s="1"/>
  <c r="D8" i="5"/>
  <c r="F7" i="5"/>
  <c r="G7" i="5" s="1"/>
  <c r="D7" i="5"/>
  <c r="F6" i="5"/>
  <c r="G6" i="5" s="1"/>
  <c r="D6" i="5"/>
  <c r="F5" i="5"/>
  <c r="G5" i="5" s="1"/>
  <c r="D5" i="5"/>
  <c r="G4" i="5"/>
  <c r="F4" i="5"/>
  <c r="D4" i="5"/>
  <c r="I205" i="4"/>
  <c r="F205" i="4"/>
  <c r="G205" i="4" s="1"/>
  <c r="D205" i="4"/>
  <c r="I204" i="4"/>
  <c r="G204" i="4"/>
  <c r="F204" i="4"/>
  <c r="D204" i="4"/>
  <c r="I203" i="4"/>
  <c r="F203" i="4"/>
  <c r="G203" i="4" s="1"/>
  <c r="D203" i="4"/>
  <c r="I202" i="4"/>
  <c r="F202" i="4"/>
  <c r="G202" i="4" s="1"/>
  <c r="D202" i="4"/>
  <c r="I201" i="4"/>
  <c r="F201" i="4"/>
  <c r="G201" i="4" s="1"/>
  <c r="D201" i="4"/>
  <c r="I200" i="4"/>
  <c r="F200" i="4"/>
  <c r="G200" i="4" s="1"/>
  <c r="D200" i="4"/>
  <c r="I199" i="4"/>
  <c r="F199" i="4"/>
  <c r="G199" i="4" s="1"/>
  <c r="D199" i="4"/>
  <c r="I198" i="4"/>
  <c r="F198" i="4"/>
  <c r="G198" i="4" s="1"/>
  <c r="D198" i="4"/>
  <c r="I197" i="4"/>
  <c r="F197" i="4"/>
  <c r="G197" i="4" s="1"/>
  <c r="D197" i="4"/>
  <c r="I196" i="4"/>
  <c r="G196" i="4"/>
  <c r="F196" i="4"/>
  <c r="D196" i="4"/>
  <c r="I195" i="4"/>
  <c r="G195" i="4"/>
  <c r="F195" i="4"/>
  <c r="D195" i="4"/>
  <c r="I194" i="4"/>
  <c r="G194" i="4"/>
  <c r="F194" i="4"/>
  <c r="D194" i="4"/>
  <c r="I193" i="4"/>
  <c r="G193" i="4"/>
  <c r="F193" i="4"/>
  <c r="D193" i="4"/>
  <c r="I192" i="4"/>
  <c r="F192" i="4"/>
  <c r="G192" i="4" s="1"/>
  <c r="D192" i="4"/>
  <c r="I191" i="4"/>
  <c r="F191" i="4"/>
  <c r="G191" i="4" s="1"/>
  <c r="D191" i="4"/>
  <c r="I190" i="4"/>
  <c r="F190" i="4"/>
  <c r="G190" i="4" s="1"/>
  <c r="D190" i="4"/>
  <c r="I189" i="4"/>
  <c r="G189" i="4"/>
  <c r="F189" i="4"/>
  <c r="D189" i="4"/>
  <c r="I188" i="4"/>
  <c r="F188" i="4"/>
  <c r="G188" i="4" s="1"/>
  <c r="D188" i="4"/>
  <c r="I187" i="4"/>
  <c r="F187" i="4"/>
  <c r="G187" i="4" s="1"/>
  <c r="D187" i="4"/>
  <c r="I186" i="4"/>
  <c r="F186" i="4"/>
  <c r="G186" i="4" s="1"/>
  <c r="D186" i="4"/>
  <c r="I185" i="4"/>
  <c r="G185" i="4"/>
  <c r="F185" i="4"/>
  <c r="D185" i="4"/>
  <c r="I184" i="4"/>
  <c r="F184" i="4"/>
  <c r="G184" i="4" s="1"/>
  <c r="D184" i="4"/>
  <c r="I183" i="4"/>
  <c r="G183" i="4"/>
  <c r="F183" i="4"/>
  <c r="D183" i="4"/>
  <c r="I182" i="4"/>
  <c r="F182" i="4"/>
  <c r="G182" i="4" s="1"/>
  <c r="D182" i="4"/>
  <c r="I181" i="4"/>
  <c r="G181" i="4"/>
  <c r="F181" i="4"/>
  <c r="D181" i="4"/>
  <c r="I180" i="4"/>
  <c r="F180" i="4"/>
  <c r="G180" i="4" s="1"/>
  <c r="D180" i="4"/>
  <c r="I179" i="4"/>
  <c r="F179" i="4"/>
  <c r="G179" i="4" s="1"/>
  <c r="D179" i="4"/>
  <c r="I178" i="4"/>
  <c r="F178" i="4"/>
  <c r="G178" i="4" s="1"/>
  <c r="D178" i="4"/>
  <c r="I177" i="4"/>
  <c r="F177" i="4"/>
  <c r="G177" i="4" s="1"/>
  <c r="D177" i="4"/>
  <c r="I176" i="4"/>
  <c r="F176" i="4"/>
  <c r="G176" i="4" s="1"/>
  <c r="D176" i="4"/>
  <c r="I175" i="4"/>
  <c r="G175" i="4"/>
  <c r="F175" i="4"/>
  <c r="D175" i="4"/>
  <c r="I174" i="4"/>
  <c r="G174" i="4"/>
  <c r="F174" i="4"/>
  <c r="D174" i="4"/>
  <c r="I173" i="4"/>
  <c r="G173" i="4"/>
  <c r="F173" i="4"/>
  <c r="D173" i="4"/>
  <c r="I172" i="4"/>
  <c r="F172" i="4"/>
  <c r="G172" i="4" s="1"/>
  <c r="D172" i="4"/>
  <c r="I171" i="4"/>
  <c r="F171" i="4"/>
  <c r="G171" i="4" s="1"/>
  <c r="D171" i="4"/>
  <c r="I170" i="4"/>
  <c r="F170" i="4"/>
  <c r="G170" i="4" s="1"/>
  <c r="D170" i="4"/>
  <c r="I169" i="4"/>
  <c r="F169" i="4"/>
  <c r="G169" i="4" s="1"/>
  <c r="D169" i="4"/>
  <c r="I168" i="4"/>
  <c r="G168" i="4"/>
  <c r="F168" i="4"/>
  <c r="D168" i="4"/>
  <c r="I167" i="4"/>
  <c r="F167" i="4"/>
  <c r="G167" i="4" s="1"/>
  <c r="D167" i="4"/>
  <c r="I166" i="4"/>
  <c r="F166" i="4"/>
  <c r="G166" i="4" s="1"/>
  <c r="D166" i="4"/>
  <c r="I165" i="4"/>
  <c r="F165" i="4"/>
  <c r="G165" i="4" s="1"/>
  <c r="D165" i="4"/>
  <c r="I164" i="4"/>
  <c r="G164" i="4"/>
  <c r="F164" i="4"/>
  <c r="D164" i="4"/>
  <c r="I163" i="4"/>
  <c r="F163" i="4"/>
  <c r="G163" i="4" s="1"/>
  <c r="D163" i="4"/>
  <c r="I162" i="4"/>
  <c r="F162" i="4"/>
  <c r="G162" i="4" s="1"/>
  <c r="D162" i="4"/>
  <c r="I161" i="4"/>
  <c r="F161" i="4"/>
  <c r="G161" i="4" s="1"/>
  <c r="D161" i="4"/>
  <c r="I160" i="4"/>
  <c r="G160" i="4"/>
  <c r="F160" i="4"/>
  <c r="D160" i="4"/>
  <c r="I159" i="4"/>
  <c r="F159" i="4"/>
  <c r="G159" i="4" s="1"/>
  <c r="D159" i="4"/>
  <c r="I158" i="4"/>
  <c r="F158" i="4"/>
  <c r="G158" i="4" s="1"/>
  <c r="D158" i="4"/>
  <c r="I157" i="4"/>
  <c r="F157" i="4"/>
  <c r="G157" i="4" s="1"/>
  <c r="D157" i="4"/>
  <c r="I156" i="4"/>
  <c r="G156" i="4"/>
  <c r="F156" i="4"/>
  <c r="D156" i="4"/>
  <c r="I155" i="4"/>
  <c r="F155" i="4"/>
  <c r="G155" i="4" s="1"/>
  <c r="D155" i="4"/>
  <c r="I154" i="4"/>
  <c r="G154" i="4"/>
  <c r="F154" i="4"/>
  <c r="D154" i="4"/>
  <c r="I153" i="4"/>
  <c r="G153" i="4"/>
  <c r="F153" i="4"/>
  <c r="D153" i="4"/>
  <c r="I152" i="4"/>
  <c r="F152" i="4"/>
  <c r="G152" i="4" s="1"/>
  <c r="D152" i="4"/>
  <c r="I151" i="4"/>
  <c r="F151" i="4"/>
  <c r="G151" i="4" s="1"/>
  <c r="D151" i="4"/>
  <c r="I150" i="4"/>
  <c r="F150" i="4"/>
  <c r="G150" i="4" s="1"/>
  <c r="D150" i="4"/>
  <c r="I149" i="4"/>
  <c r="F149" i="4"/>
  <c r="G149" i="4" s="1"/>
  <c r="D149" i="4"/>
  <c r="I148" i="4"/>
  <c r="F148" i="4"/>
  <c r="G148" i="4" s="1"/>
  <c r="D148" i="4"/>
  <c r="I147" i="4"/>
  <c r="F147" i="4"/>
  <c r="G147" i="4" s="1"/>
  <c r="D147" i="4"/>
  <c r="I146" i="4"/>
  <c r="G146" i="4"/>
  <c r="F146" i="4"/>
  <c r="D146" i="4"/>
  <c r="I145" i="4"/>
  <c r="F145" i="4"/>
  <c r="G145" i="4" s="1"/>
  <c r="D145" i="4"/>
  <c r="I144" i="4"/>
  <c r="F144" i="4"/>
  <c r="G144" i="4" s="1"/>
  <c r="D144" i="4"/>
  <c r="I143" i="4"/>
  <c r="G143" i="4"/>
  <c r="F143" i="4"/>
  <c r="D143" i="4"/>
  <c r="I142" i="4"/>
  <c r="F142" i="4"/>
  <c r="G142" i="4" s="1"/>
  <c r="D142" i="4"/>
  <c r="I141" i="4"/>
  <c r="F141" i="4"/>
  <c r="G141" i="4" s="1"/>
  <c r="D141" i="4"/>
  <c r="I140" i="4"/>
  <c r="F140" i="4"/>
  <c r="G140" i="4" s="1"/>
  <c r="D140" i="4"/>
  <c r="I139" i="4"/>
  <c r="G139" i="4"/>
  <c r="F139" i="4"/>
  <c r="D139" i="4"/>
  <c r="I138" i="4"/>
  <c r="F138" i="4"/>
  <c r="G138" i="4" s="1"/>
  <c r="D138" i="4"/>
  <c r="I137" i="4"/>
  <c r="F137" i="4"/>
  <c r="G137" i="4" s="1"/>
  <c r="D137" i="4"/>
  <c r="I136" i="4"/>
  <c r="G136" i="4"/>
  <c r="F136" i="4"/>
  <c r="D136" i="4"/>
  <c r="I135" i="4"/>
  <c r="G135" i="4"/>
  <c r="F135" i="4"/>
  <c r="D135" i="4"/>
  <c r="I134" i="4"/>
  <c r="F134" i="4"/>
  <c r="G134" i="4" s="1"/>
  <c r="D134" i="4"/>
  <c r="I133" i="4"/>
  <c r="G133" i="4"/>
  <c r="F133" i="4"/>
  <c r="D133" i="4"/>
  <c r="I132" i="4"/>
  <c r="F132" i="4"/>
  <c r="G132" i="4" s="1"/>
  <c r="D132" i="4"/>
  <c r="I131" i="4"/>
  <c r="G131" i="4"/>
  <c r="F131" i="4"/>
  <c r="D131" i="4"/>
  <c r="I130" i="4"/>
  <c r="F130" i="4"/>
  <c r="G130" i="4" s="1"/>
  <c r="D130" i="4"/>
  <c r="I129" i="4"/>
  <c r="F129" i="4"/>
  <c r="G129" i="4" s="1"/>
  <c r="D129" i="4"/>
  <c r="I128" i="4"/>
  <c r="F128" i="4"/>
  <c r="G128" i="4" s="1"/>
  <c r="D128" i="4"/>
  <c r="I127" i="4"/>
  <c r="F127" i="4"/>
  <c r="G127" i="4" s="1"/>
  <c r="D127" i="4"/>
  <c r="I126" i="4"/>
  <c r="F126" i="4"/>
  <c r="G126" i="4" s="1"/>
  <c r="D126" i="4"/>
  <c r="I125" i="4"/>
  <c r="G125" i="4"/>
  <c r="F125" i="4"/>
  <c r="D125" i="4"/>
  <c r="I124" i="4"/>
  <c r="F124" i="4"/>
  <c r="G124" i="4" s="1"/>
  <c r="D124" i="4"/>
  <c r="I123" i="4"/>
  <c r="F123" i="4"/>
  <c r="G123" i="4" s="1"/>
  <c r="D123" i="4"/>
  <c r="I122" i="4"/>
  <c r="F122" i="4"/>
  <c r="G122" i="4" s="1"/>
  <c r="D122" i="4"/>
  <c r="I121" i="4"/>
  <c r="F121" i="4"/>
  <c r="G121" i="4" s="1"/>
  <c r="D121" i="4"/>
  <c r="I120" i="4"/>
  <c r="F120" i="4"/>
  <c r="G120" i="4" s="1"/>
  <c r="D120" i="4"/>
  <c r="I119" i="4"/>
  <c r="F119" i="4"/>
  <c r="G119" i="4" s="1"/>
  <c r="D119" i="4"/>
  <c r="I118" i="4"/>
  <c r="G118" i="4"/>
  <c r="F118" i="4"/>
  <c r="D118" i="4"/>
  <c r="I117" i="4"/>
  <c r="F117" i="4"/>
  <c r="G117" i="4" s="1"/>
  <c r="D117" i="4"/>
  <c r="I116" i="4"/>
  <c r="G116" i="4"/>
  <c r="F116" i="4"/>
  <c r="D116" i="4"/>
  <c r="I115" i="4"/>
  <c r="G115" i="4"/>
  <c r="F115" i="4"/>
  <c r="D115" i="4"/>
  <c r="I114" i="4"/>
  <c r="G114" i="4"/>
  <c r="F114" i="4"/>
  <c r="D114" i="4"/>
  <c r="I113" i="4"/>
  <c r="F113" i="4"/>
  <c r="G113" i="4" s="1"/>
  <c r="D113" i="4"/>
  <c r="I112" i="4"/>
  <c r="F112" i="4"/>
  <c r="G112" i="4" s="1"/>
  <c r="D112" i="4"/>
  <c r="I111" i="4"/>
  <c r="F111" i="4"/>
  <c r="G111" i="4" s="1"/>
  <c r="D111" i="4"/>
  <c r="I110" i="4"/>
  <c r="G110" i="4"/>
  <c r="F110" i="4"/>
  <c r="D110" i="4"/>
  <c r="I109" i="4"/>
  <c r="F109" i="4"/>
  <c r="G109" i="4" s="1"/>
  <c r="D109" i="4"/>
  <c r="I108" i="4"/>
  <c r="F108" i="4"/>
  <c r="G108" i="4" s="1"/>
  <c r="D108" i="4"/>
  <c r="I107" i="4"/>
  <c r="F107" i="4"/>
  <c r="G107" i="4" s="1"/>
  <c r="D107" i="4"/>
  <c r="I106" i="4"/>
  <c r="G106" i="4"/>
  <c r="F106" i="4"/>
  <c r="D106" i="4"/>
  <c r="I105" i="4"/>
  <c r="F105" i="4"/>
  <c r="G105" i="4" s="1"/>
  <c r="D105" i="4"/>
  <c r="I104" i="4"/>
  <c r="G104" i="4"/>
  <c r="F104" i="4"/>
  <c r="D104" i="4"/>
  <c r="I103" i="4"/>
  <c r="F103" i="4"/>
  <c r="G103" i="4" s="1"/>
  <c r="D103" i="4"/>
  <c r="I102" i="4"/>
  <c r="F102" i="4"/>
  <c r="G102" i="4" s="1"/>
  <c r="D102" i="4"/>
  <c r="I101" i="4"/>
  <c r="F101" i="4"/>
  <c r="G101" i="4" s="1"/>
  <c r="D101" i="4"/>
  <c r="I100" i="4"/>
  <c r="F100" i="4"/>
  <c r="G100" i="4" s="1"/>
  <c r="D100" i="4"/>
  <c r="I99" i="4"/>
  <c r="F99" i="4"/>
  <c r="G99" i="4" s="1"/>
  <c r="D99" i="4"/>
  <c r="I98" i="4"/>
  <c r="F98" i="4"/>
  <c r="G98" i="4" s="1"/>
  <c r="D98" i="4"/>
  <c r="I97" i="4"/>
  <c r="F97" i="4"/>
  <c r="G97" i="4" s="1"/>
  <c r="D97" i="4"/>
  <c r="I96" i="4"/>
  <c r="G96" i="4"/>
  <c r="F96" i="4"/>
  <c r="D96" i="4"/>
  <c r="I95" i="4"/>
  <c r="G95" i="4"/>
  <c r="F95" i="4"/>
  <c r="D95" i="4"/>
  <c r="I94" i="4"/>
  <c r="G94" i="4"/>
  <c r="F94" i="4"/>
  <c r="D94" i="4"/>
  <c r="I93" i="4"/>
  <c r="G93" i="4"/>
  <c r="F93" i="4"/>
  <c r="D93" i="4"/>
  <c r="I92" i="4"/>
  <c r="F92" i="4"/>
  <c r="G92" i="4" s="1"/>
  <c r="D92" i="4"/>
  <c r="I91" i="4"/>
  <c r="F91" i="4"/>
  <c r="G91" i="4" s="1"/>
  <c r="D91" i="4"/>
  <c r="I90" i="4"/>
  <c r="F90" i="4"/>
  <c r="G90" i="4" s="1"/>
  <c r="D90" i="4"/>
  <c r="I89" i="4"/>
  <c r="G89" i="4"/>
  <c r="F89" i="4"/>
  <c r="D89" i="4"/>
  <c r="I88" i="4"/>
  <c r="F88" i="4"/>
  <c r="G88" i="4" s="1"/>
  <c r="D88" i="4"/>
  <c r="I87" i="4"/>
  <c r="F87" i="4"/>
  <c r="G87" i="4" s="1"/>
  <c r="D87" i="4"/>
  <c r="I86" i="4"/>
  <c r="F86" i="4"/>
  <c r="G86" i="4" s="1"/>
  <c r="D86" i="4"/>
  <c r="I85" i="4"/>
  <c r="G85" i="4"/>
  <c r="F85" i="4"/>
  <c r="D85" i="4"/>
  <c r="I84" i="4"/>
  <c r="F84" i="4"/>
  <c r="G84" i="4" s="1"/>
  <c r="D84" i="4"/>
  <c r="I83" i="4"/>
  <c r="G83" i="4"/>
  <c r="F83" i="4"/>
  <c r="D83" i="4"/>
  <c r="I82" i="4"/>
  <c r="F82" i="4"/>
  <c r="G82" i="4" s="1"/>
  <c r="D82" i="4"/>
  <c r="I81" i="4"/>
  <c r="G81" i="4"/>
  <c r="F81" i="4"/>
  <c r="D81" i="4"/>
  <c r="I80" i="4"/>
  <c r="F80" i="4"/>
  <c r="G80" i="4" s="1"/>
  <c r="D80" i="4"/>
  <c r="I79" i="4"/>
  <c r="F79" i="4"/>
  <c r="G79" i="4" s="1"/>
  <c r="D79" i="4"/>
  <c r="I78" i="4"/>
  <c r="F78" i="4"/>
  <c r="G78" i="4" s="1"/>
  <c r="D78" i="4"/>
  <c r="I77" i="4"/>
  <c r="F77" i="4"/>
  <c r="G77" i="4" s="1"/>
  <c r="D77" i="4"/>
  <c r="I76" i="4"/>
  <c r="F76" i="4"/>
  <c r="G76" i="4" s="1"/>
  <c r="D76" i="4"/>
  <c r="I75" i="4"/>
  <c r="G75" i="4"/>
  <c r="F75" i="4"/>
  <c r="D75" i="4"/>
  <c r="I74" i="4"/>
  <c r="G74" i="4"/>
  <c r="F74" i="4"/>
  <c r="D74" i="4"/>
  <c r="I73" i="4"/>
  <c r="G73" i="4"/>
  <c r="F73" i="4"/>
  <c r="D73" i="4"/>
  <c r="I72" i="4"/>
  <c r="F72" i="4"/>
  <c r="G72" i="4" s="1"/>
  <c r="D72" i="4"/>
  <c r="I71" i="4"/>
  <c r="F71" i="4"/>
  <c r="G71" i="4" s="1"/>
  <c r="D71" i="4"/>
  <c r="I70" i="4"/>
  <c r="F70" i="4"/>
  <c r="G70" i="4" s="1"/>
  <c r="D70" i="4"/>
  <c r="I69" i="4"/>
  <c r="F69" i="4"/>
  <c r="G69" i="4" s="1"/>
  <c r="D69" i="4"/>
  <c r="I68" i="4"/>
  <c r="G68" i="4"/>
  <c r="F68" i="4"/>
  <c r="D68" i="4"/>
  <c r="I67" i="4"/>
  <c r="F67" i="4"/>
  <c r="G67" i="4" s="1"/>
  <c r="D67" i="4"/>
  <c r="I66" i="4"/>
  <c r="F66" i="4"/>
  <c r="G66" i="4" s="1"/>
  <c r="D66" i="4"/>
  <c r="I65" i="4"/>
  <c r="F65" i="4"/>
  <c r="G65" i="4" s="1"/>
  <c r="D65" i="4"/>
  <c r="I64" i="4"/>
  <c r="G64" i="4"/>
  <c r="F64" i="4"/>
  <c r="D64" i="4"/>
  <c r="I63" i="4"/>
  <c r="F63" i="4"/>
  <c r="G63" i="4" s="1"/>
  <c r="D63" i="4"/>
  <c r="I62" i="4"/>
  <c r="F62" i="4"/>
  <c r="G62" i="4" s="1"/>
  <c r="D62" i="4"/>
  <c r="I61" i="4"/>
  <c r="F61" i="4"/>
  <c r="G61" i="4" s="1"/>
  <c r="D61" i="4"/>
  <c r="I60" i="4"/>
  <c r="G60" i="4"/>
  <c r="F60" i="4"/>
  <c r="D60" i="4"/>
  <c r="I59" i="4"/>
  <c r="F59" i="4"/>
  <c r="G59" i="4" s="1"/>
  <c r="D59" i="4"/>
  <c r="I58" i="4"/>
  <c r="F58" i="4"/>
  <c r="G58" i="4" s="1"/>
  <c r="D58" i="4"/>
  <c r="I57" i="4"/>
  <c r="F57" i="4"/>
  <c r="G57" i="4" s="1"/>
  <c r="D57" i="4"/>
  <c r="I56" i="4"/>
  <c r="G56" i="4"/>
  <c r="F56" i="4"/>
  <c r="D56" i="4"/>
  <c r="I55" i="4"/>
  <c r="F55" i="4"/>
  <c r="G55" i="4" s="1"/>
  <c r="D55" i="4"/>
  <c r="I54" i="4"/>
  <c r="G54" i="4"/>
  <c r="F54" i="4"/>
  <c r="D54" i="4"/>
  <c r="I53" i="4"/>
  <c r="G53" i="4"/>
  <c r="F53" i="4"/>
  <c r="D53" i="4"/>
  <c r="I52" i="4"/>
  <c r="F52" i="4"/>
  <c r="G52" i="4" s="1"/>
  <c r="D52" i="4"/>
  <c r="I51" i="4"/>
  <c r="F51" i="4"/>
  <c r="G51" i="4" s="1"/>
  <c r="D51" i="4"/>
  <c r="I50" i="4"/>
  <c r="F50" i="4"/>
  <c r="G50" i="4" s="1"/>
  <c r="D50" i="4"/>
  <c r="I49" i="4"/>
  <c r="F49" i="4"/>
  <c r="G49" i="4" s="1"/>
  <c r="D49" i="4"/>
  <c r="I48" i="4"/>
  <c r="F48" i="4"/>
  <c r="G48" i="4" s="1"/>
  <c r="D48" i="4"/>
  <c r="I47" i="4"/>
  <c r="F47" i="4"/>
  <c r="G47" i="4" s="1"/>
  <c r="D47" i="4"/>
  <c r="I46" i="4"/>
  <c r="G46" i="4"/>
  <c r="F46" i="4"/>
  <c r="D46" i="4"/>
  <c r="I45" i="4"/>
  <c r="F45" i="4"/>
  <c r="G45" i="4" s="1"/>
  <c r="D45" i="4"/>
  <c r="I44" i="4"/>
  <c r="F44" i="4"/>
  <c r="G44" i="4" s="1"/>
  <c r="D44" i="4"/>
  <c r="I43" i="4"/>
  <c r="G43" i="4"/>
  <c r="F43" i="4"/>
  <c r="D43" i="4"/>
  <c r="I42" i="4"/>
  <c r="F42" i="4"/>
  <c r="G42" i="4" s="1"/>
  <c r="D42" i="4"/>
  <c r="I41" i="4"/>
  <c r="F41" i="4"/>
  <c r="G41" i="4" s="1"/>
  <c r="D41" i="4"/>
  <c r="I40" i="4"/>
  <c r="F40" i="4"/>
  <c r="G40" i="4" s="1"/>
  <c r="D40" i="4"/>
  <c r="I39" i="4"/>
  <c r="G39" i="4"/>
  <c r="F39" i="4"/>
  <c r="D39" i="4"/>
  <c r="I38" i="4"/>
  <c r="F38" i="4"/>
  <c r="G38" i="4" s="1"/>
  <c r="D38" i="4"/>
  <c r="I37" i="4"/>
  <c r="F37" i="4"/>
  <c r="G37" i="4" s="1"/>
  <c r="D37" i="4"/>
  <c r="I36" i="4"/>
  <c r="F36" i="4"/>
  <c r="G36" i="4" s="1"/>
  <c r="D36" i="4"/>
  <c r="I35" i="4"/>
  <c r="F35" i="4"/>
  <c r="G35" i="4" s="1"/>
  <c r="D35" i="4"/>
  <c r="I34" i="4"/>
  <c r="G34" i="4"/>
  <c r="F34" i="4"/>
  <c r="D34" i="4"/>
  <c r="I33" i="4"/>
  <c r="F33" i="4"/>
  <c r="G33" i="4" s="1"/>
  <c r="D33" i="4"/>
  <c r="I32" i="4"/>
  <c r="F32" i="4"/>
  <c r="G32" i="4" s="1"/>
  <c r="D32" i="4"/>
  <c r="I31" i="4"/>
  <c r="F31" i="4"/>
  <c r="G31" i="4" s="1"/>
  <c r="D31" i="4"/>
  <c r="I30" i="4"/>
  <c r="F30" i="4"/>
  <c r="G30" i="4" s="1"/>
  <c r="D30" i="4"/>
  <c r="I29" i="4"/>
  <c r="G29" i="4"/>
  <c r="F29" i="4"/>
  <c r="D29" i="4"/>
  <c r="I28" i="4"/>
  <c r="F28" i="4"/>
  <c r="G28" i="4" s="1"/>
  <c r="D28" i="4"/>
  <c r="I27" i="4"/>
  <c r="F27" i="4"/>
  <c r="G27" i="4" s="1"/>
  <c r="D27" i="4"/>
  <c r="I26" i="4"/>
  <c r="F26" i="4"/>
  <c r="G26" i="4" s="1"/>
  <c r="D26" i="4"/>
  <c r="I25" i="4"/>
  <c r="F25" i="4"/>
  <c r="G25" i="4" s="1"/>
  <c r="D25" i="4"/>
  <c r="I24" i="4"/>
  <c r="G24" i="4"/>
  <c r="F24" i="4"/>
  <c r="D24" i="4"/>
  <c r="I23" i="4"/>
  <c r="F23" i="4"/>
  <c r="G23" i="4" s="1"/>
  <c r="D23" i="4"/>
  <c r="I22" i="4"/>
  <c r="F22" i="4"/>
  <c r="G22" i="4" s="1"/>
  <c r="D22" i="4"/>
  <c r="I21" i="4"/>
  <c r="F21" i="4"/>
  <c r="G21" i="4" s="1"/>
  <c r="D21" i="4"/>
  <c r="I20" i="4"/>
  <c r="F20" i="4"/>
  <c r="G20" i="4" s="1"/>
  <c r="D20" i="4"/>
  <c r="I19" i="4"/>
  <c r="G19" i="4"/>
  <c r="F19" i="4"/>
  <c r="D19" i="4"/>
  <c r="I18" i="4"/>
  <c r="F18" i="4"/>
  <c r="G18" i="4" s="1"/>
  <c r="D18" i="4"/>
  <c r="I17" i="4"/>
  <c r="F17" i="4"/>
  <c r="G17" i="4" s="1"/>
  <c r="D17" i="4"/>
  <c r="I16" i="4"/>
  <c r="F16" i="4"/>
  <c r="G16" i="4" s="1"/>
  <c r="D16" i="4"/>
  <c r="I15" i="4"/>
  <c r="F15" i="4"/>
  <c r="G15" i="4" s="1"/>
  <c r="D15" i="4"/>
  <c r="I14" i="4"/>
  <c r="G14" i="4"/>
  <c r="F14" i="4"/>
  <c r="D14" i="4"/>
  <c r="I13" i="4"/>
  <c r="F13" i="4"/>
  <c r="G13" i="4" s="1"/>
  <c r="D13" i="4"/>
  <c r="I12" i="4"/>
  <c r="F12" i="4"/>
  <c r="G12" i="4" s="1"/>
  <c r="D12" i="4"/>
  <c r="I11" i="4"/>
  <c r="F11" i="4"/>
  <c r="G11" i="4" s="1"/>
  <c r="D11" i="4"/>
  <c r="I10" i="4"/>
  <c r="F10" i="4"/>
  <c r="G10" i="4" s="1"/>
  <c r="D10" i="4"/>
  <c r="I9" i="4"/>
  <c r="G9" i="4"/>
  <c r="F9" i="4"/>
  <c r="D9" i="4"/>
  <c r="I8" i="4"/>
  <c r="F8" i="4"/>
  <c r="G8" i="4" s="1"/>
  <c r="D8" i="4"/>
  <c r="I7" i="4"/>
  <c r="F7" i="4"/>
  <c r="G7" i="4" s="1"/>
  <c r="D7" i="4"/>
  <c r="I6" i="4"/>
  <c r="F6" i="4"/>
  <c r="G6" i="4" s="1"/>
  <c r="D6" i="4"/>
  <c r="H8" i="6" l="1"/>
  <c r="C9" i="7"/>
  <c r="E9" i="7" s="1"/>
  <c r="H69" i="6"/>
  <c r="H88" i="6"/>
  <c r="C89" i="7"/>
  <c r="E89" i="7" s="1"/>
  <c r="H93" i="6"/>
  <c r="C94" i="7"/>
  <c r="E94" i="7" s="1"/>
  <c r="C44" i="7"/>
  <c r="E44" i="7" s="1"/>
  <c r="H43" i="6"/>
  <c r="H13" i="6"/>
  <c r="C14" i="7"/>
  <c r="E14" i="7" s="1"/>
  <c r="G67" i="6"/>
  <c r="C68" i="7" s="1"/>
  <c r="E68" i="7" s="1"/>
  <c r="C79" i="7"/>
  <c r="E79" i="7" s="1"/>
  <c r="H78" i="6"/>
  <c r="C99" i="7"/>
  <c r="E99" i="7" s="1"/>
  <c r="H98" i="6"/>
  <c r="C49" i="7"/>
  <c r="E49" i="7" s="1"/>
  <c r="H48" i="6"/>
  <c r="C64" i="7"/>
  <c r="E64" i="7" s="1"/>
  <c r="H63" i="6"/>
  <c r="H103" i="6"/>
  <c r="C104" i="7"/>
  <c r="E104" i="7" s="1"/>
  <c r="H53" i="6"/>
  <c r="C54" i="7"/>
  <c r="E54" i="7" s="1"/>
  <c r="C59" i="7"/>
  <c r="E59" i="7" s="1"/>
  <c r="H58" i="6"/>
  <c r="G81" i="6"/>
  <c r="C82" i="7" s="1"/>
  <c r="E82" i="7" s="1"/>
  <c r="C29" i="7"/>
  <c r="E29" i="7" s="1"/>
  <c r="H28" i="6"/>
  <c r="H83" i="6"/>
  <c r="C84" i="7"/>
  <c r="E84" i="7" s="1"/>
  <c r="H33" i="6"/>
  <c r="C34" i="7"/>
  <c r="E34" i="7" s="1"/>
  <c r="A67" i="7"/>
  <c r="E66" i="6"/>
  <c r="F16" i="6"/>
  <c r="H89" i="6"/>
  <c r="E90" i="6"/>
  <c r="G90" i="6" s="1"/>
  <c r="H102" i="6"/>
  <c r="H74" i="6"/>
  <c r="G16" i="6"/>
  <c r="C17" i="7" s="1"/>
  <c r="E17" i="7" s="1"/>
  <c r="E40" i="6"/>
  <c r="G40" i="6" s="1"/>
  <c r="G66" i="6"/>
  <c r="C67" i="7" s="1"/>
  <c r="E67" i="7" s="1"/>
  <c r="A12" i="7"/>
  <c r="E11" i="6"/>
  <c r="G11" i="6" s="1"/>
  <c r="G19" i="6"/>
  <c r="C20" i="7" s="1"/>
  <c r="E20" i="7" s="1"/>
  <c r="A62" i="7"/>
  <c r="E61" i="6"/>
  <c r="G61" i="6" s="1"/>
  <c r="H66" i="6"/>
  <c r="G69" i="6"/>
  <c r="C70" i="7" s="1"/>
  <c r="E70" i="7" s="1"/>
  <c r="F81" i="6"/>
  <c r="H104" i="6"/>
  <c r="A68" i="7"/>
  <c r="A17" i="7"/>
  <c r="E16" i="6"/>
  <c r="E105" i="6"/>
  <c r="G105" i="6" s="1"/>
  <c r="A41" i="7"/>
  <c r="C74" i="7"/>
  <c r="E74" i="7" s="1"/>
  <c r="F96" i="6"/>
  <c r="A47" i="7"/>
  <c r="E46" i="6"/>
  <c r="G46" i="6" s="1"/>
  <c r="H81" i="6"/>
  <c r="G96" i="6"/>
  <c r="C97" i="7" s="1"/>
  <c r="E97" i="7" s="1"/>
  <c r="F11" i="6"/>
  <c r="F52" i="6"/>
  <c r="F61" i="6"/>
  <c r="H84" i="6"/>
  <c r="A92" i="7"/>
  <c r="E91" i="6"/>
  <c r="A97" i="7"/>
  <c r="E96" i="6"/>
  <c r="E20" i="6"/>
  <c r="G20" i="6" s="1"/>
  <c r="E70" i="6"/>
  <c r="G70" i="6" s="1"/>
  <c r="A42" i="7"/>
  <c r="E41" i="6"/>
  <c r="E17" i="6"/>
  <c r="G17" i="6" s="1"/>
  <c r="E35" i="6"/>
  <c r="F55" i="6"/>
  <c r="E67" i="6"/>
  <c r="E85" i="6"/>
  <c r="G85" i="6" s="1"/>
  <c r="A83" i="7"/>
  <c r="F40" i="6"/>
  <c r="E52" i="6"/>
  <c r="G52" i="6" s="1"/>
  <c r="A7" i="7"/>
  <c r="E6" i="6"/>
  <c r="G6" i="6" s="1"/>
  <c r="C7" i="7" s="1"/>
  <c r="E7" i="7" s="1"/>
  <c r="F17" i="6"/>
  <c r="F26" i="6"/>
  <c r="G26" i="6" s="1"/>
  <c r="A57" i="7"/>
  <c r="E56" i="6"/>
  <c r="G56" i="6" s="1"/>
  <c r="F76" i="6"/>
  <c r="A107" i="7"/>
  <c r="E106" i="6"/>
  <c r="G106" i="6" s="1"/>
  <c r="A36" i="7"/>
  <c r="C69" i="7"/>
  <c r="E69" i="7" s="1"/>
  <c r="F67" i="6"/>
  <c r="F20" i="6"/>
  <c r="E32" i="6"/>
  <c r="E50" i="6"/>
  <c r="G50" i="6" s="1"/>
  <c r="H62" i="6"/>
  <c r="F70" i="6"/>
  <c r="G76" i="6"/>
  <c r="C77" i="7" s="1"/>
  <c r="E77" i="7" s="1"/>
  <c r="E82" i="6"/>
  <c r="G82" i="6" s="1"/>
  <c r="H100" i="6"/>
  <c r="G100" i="6"/>
  <c r="C101" i="7" s="1"/>
  <c r="E101" i="7" s="1"/>
  <c r="E100" i="6"/>
  <c r="F91" i="6"/>
  <c r="A82" i="7"/>
  <c r="E81" i="6"/>
  <c r="F66" i="6"/>
  <c r="A22" i="7"/>
  <c r="E21" i="6"/>
  <c r="F32" i="6"/>
  <c r="F41" i="6"/>
  <c r="A72" i="7"/>
  <c r="E71" i="6"/>
  <c r="G71" i="6" s="1"/>
  <c r="F82" i="6"/>
  <c r="E15" i="6"/>
  <c r="G15" i="6" s="1"/>
  <c r="H23" i="6"/>
  <c r="G32" i="6"/>
  <c r="C33" i="7" s="1"/>
  <c r="E33" i="7" s="1"/>
  <c r="F35" i="6"/>
  <c r="G35" i="6" s="1"/>
  <c r="G41" i="6"/>
  <c r="E47" i="6"/>
  <c r="G47" i="6" s="1"/>
  <c r="C48" i="7" s="1"/>
  <c r="E48" i="7" s="1"/>
  <c r="E65" i="6"/>
  <c r="G65" i="6" s="1"/>
  <c r="F85" i="6"/>
  <c r="G91" i="6"/>
  <c r="E97" i="6"/>
  <c r="G97" i="6" s="1"/>
  <c r="H24" i="6"/>
  <c r="A32" i="7"/>
  <c r="E31" i="6"/>
  <c r="E5" i="6"/>
  <c r="G5" i="6" s="1"/>
  <c r="G31" i="6"/>
  <c r="C32" i="7" s="1"/>
  <c r="E32" i="7" s="1"/>
  <c r="G55" i="6"/>
  <c r="C56" i="7" s="1"/>
  <c r="E56" i="7" s="1"/>
  <c r="E55" i="6"/>
  <c r="A27" i="7"/>
  <c r="E26" i="6"/>
  <c r="F46" i="6"/>
  <c r="A77" i="7"/>
  <c r="E76" i="6"/>
  <c r="A37" i="7"/>
  <c r="E36" i="6"/>
  <c r="G44" i="6"/>
  <c r="A87" i="7"/>
  <c r="E86" i="6"/>
  <c r="G86" i="6" s="1"/>
  <c r="F106" i="6"/>
  <c r="A18" i="7"/>
  <c r="A78" i="7"/>
  <c r="A98" i="7"/>
  <c r="E80" i="6"/>
  <c r="G80" i="6" s="1"/>
  <c r="A71" i="7"/>
  <c r="F71" i="6"/>
  <c r="H94" i="6"/>
  <c r="A102" i="7"/>
  <c r="E101" i="6"/>
  <c r="E30" i="6"/>
  <c r="G30" i="6" s="1"/>
  <c r="A52" i="7"/>
  <c r="E51" i="6"/>
  <c r="G51" i="6" s="1"/>
  <c r="H7" i="6"/>
  <c r="G12" i="6"/>
  <c r="C13" i="7" s="1"/>
  <c r="E13" i="7" s="1"/>
  <c r="F15" i="6"/>
  <c r="G21" i="6"/>
  <c r="E27" i="6"/>
  <c r="G27" i="6" s="1"/>
  <c r="E45" i="6"/>
  <c r="G45" i="6" s="1"/>
  <c r="F65" i="6"/>
  <c r="E77" i="6"/>
  <c r="G77" i="6" s="1"/>
  <c r="E95" i="6"/>
  <c r="G95" i="6" s="1"/>
  <c r="F86" i="6"/>
  <c r="F77" i="6"/>
  <c r="E10" i="6"/>
  <c r="G10" i="6" s="1"/>
  <c r="H18" i="6"/>
  <c r="H22" i="6"/>
  <c r="F30" i="6"/>
  <c r="G36" i="6"/>
  <c r="E42" i="6"/>
  <c r="G42" i="6" s="1"/>
  <c r="E60" i="6"/>
  <c r="G60" i="6" s="1"/>
  <c r="H72" i="6"/>
  <c r="F80" i="6"/>
  <c r="E92" i="6"/>
  <c r="A13" i="7"/>
  <c r="A33" i="7"/>
  <c r="A53" i="7"/>
  <c r="A73" i="7"/>
  <c r="A93" i="7"/>
  <c r="A106" i="7"/>
  <c r="F101" i="6"/>
  <c r="A6" i="7"/>
  <c r="A46" i="7"/>
  <c r="A66" i="7"/>
  <c r="A86" i="7"/>
  <c r="F92" i="6"/>
  <c r="G92" i="6" s="1"/>
  <c r="E7" i="6"/>
  <c r="G7" i="6" s="1"/>
  <c r="C8" i="7" s="1"/>
  <c r="E8" i="7" s="1"/>
  <c r="E25" i="6"/>
  <c r="G25" i="6" s="1"/>
  <c r="H37" i="6"/>
  <c r="F45" i="6"/>
  <c r="E57" i="6"/>
  <c r="G57" i="6" s="1"/>
  <c r="C58" i="7" s="1"/>
  <c r="E58" i="7" s="1"/>
  <c r="E75" i="6"/>
  <c r="G75" i="6" s="1"/>
  <c r="H87" i="6"/>
  <c r="F95" i="6"/>
  <c r="G101" i="6"/>
  <c r="C36" i="7" l="1"/>
  <c r="E36" i="7" s="1"/>
  <c r="H35" i="6"/>
  <c r="C91" i="7"/>
  <c r="E91" i="7" s="1"/>
  <c r="H90" i="6"/>
  <c r="C72" i="7"/>
  <c r="E72" i="7" s="1"/>
  <c r="H71" i="6"/>
  <c r="C31" i="7"/>
  <c r="E31" i="7" s="1"/>
  <c r="H30" i="6"/>
  <c r="C21" i="7"/>
  <c r="E21" i="7" s="1"/>
  <c r="H20" i="6"/>
  <c r="C98" i="7"/>
  <c r="E98" i="7" s="1"/>
  <c r="H97" i="6"/>
  <c r="C28" i="7"/>
  <c r="E28" i="7" s="1"/>
  <c r="H27" i="6"/>
  <c r="C86" i="7"/>
  <c r="E86" i="7" s="1"/>
  <c r="H85" i="6"/>
  <c r="C16" i="7"/>
  <c r="E16" i="7" s="1"/>
  <c r="H15" i="6"/>
  <c r="C52" i="7"/>
  <c r="E52" i="7" s="1"/>
  <c r="H51" i="6"/>
  <c r="C106" i="7"/>
  <c r="E106" i="7" s="1"/>
  <c r="H105" i="6"/>
  <c r="C43" i="7"/>
  <c r="E43" i="7" s="1"/>
  <c r="H42" i="6"/>
  <c r="C107" i="7"/>
  <c r="E107" i="7" s="1"/>
  <c r="H106" i="6"/>
  <c r="C6" i="7"/>
  <c r="E6" i="7" s="1"/>
  <c r="H5" i="6"/>
  <c r="C11" i="7"/>
  <c r="E11" i="7" s="1"/>
  <c r="H10" i="6"/>
  <c r="C62" i="7"/>
  <c r="E62" i="7" s="1"/>
  <c r="H61" i="6"/>
  <c r="C96" i="7"/>
  <c r="E96" i="7" s="1"/>
  <c r="H95" i="6"/>
  <c r="C87" i="7"/>
  <c r="E87" i="7" s="1"/>
  <c r="H86" i="6"/>
  <c r="C66" i="7"/>
  <c r="E66" i="7" s="1"/>
  <c r="H65" i="6"/>
  <c r="C53" i="7"/>
  <c r="E53" i="7" s="1"/>
  <c r="H52" i="6"/>
  <c r="C47" i="7"/>
  <c r="E47" i="7" s="1"/>
  <c r="H46" i="6"/>
  <c r="C51" i="7"/>
  <c r="E51" i="7" s="1"/>
  <c r="H50" i="6"/>
  <c r="C18" i="7"/>
  <c r="E18" i="7" s="1"/>
  <c r="H17" i="6"/>
  <c r="C76" i="7"/>
  <c r="E76" i="7" s="1"/>
  <c r="H75" i="6"/>
  <c r="C61" i="7"/>
  <c r="E61" i="7" s="1"/>
  <c r="H60" i="6"/>
  <c r="C71" i="7"/>
  <c r="E71" i="7" s="1"/>
  <c r="H70" i="6"/>
  <c r="C26" i="7"/>
  <c r="E26" i="7" s="1"/>
  <c r="H25" i="6"/>
  <c r="C93" i="7"/>
  <c r="E93" i="7" s="1"/>
  <c r="H92" i="6"/>
  <c r="C81" i="7"/>
  <c r="E81" i="7" s="1"/>
  <c r="H80" i="6"/>
  <c r="C27" i="7"/>
  <c r="E27" i="7" s="1"/>
  <c r="H26" i="6"/>
  <c r="C12" i="7"/>
  <c r="E12" i="7" s="1"/>
  <c r="H11" i="6"/>
  <c r="C78" i="7"/>
  <c r="E78" i="7" s="1"/>
  <c r="H77" i="6"/>
  <c r="C46" i="7"/>
  <c r="E46" i="7" s="1"/>
  <c r="H45" i="6"/>
  <c r="C83" i="7"/>
  <c r="E83" i="7" s="1"/>
  <c r="H82" i="6"/>
  <c r="C41" i="7"/>
  <c r="E41" i="7" s="1"/>
  <c r="H40" i="6"/>
  <c r="C45" i="7"/>
  <c r="E45" i="7" s="1"/>
  <c r="H44" i="6"/>
  <c r="C92" i="7"/>
  <c r="E92" i="7" s="1"/>
  <c r="H91" i="6"/>
  <c r="H12" i="6"/>
  <c r="H19" i="6"/>
  <c r="C22" i="7"/>
  <c r="E22" i="7" s="1"/>
  <c r="H21" i="6"/>
  <c r="C102" i="7"/>
  <c r="E102" i="7" s="1"/>
  <c r="H101" i="6"/>
  <c r="H16" i="6"/>
  <c r="H57" i="6"/>
  <c r="C37" i="7"/>
  <c r="E37" i="7" s="1"/>
  <c r="H36" i="6"/>
  <c r="H55" i="6"/>
  <c r="H76" i="6"/>
  <c r="H32" i="6"/>
  <c r="H31" i="6"/>
  <c r="H67" i="6"/>
  <c r="H47" i="6"/>
  <c r="C42" i="7"/>
  <c r="E42" i="7" s="1"/>
  <c r="H41" i="6"/>
  <c r="C57" i="7"/>
  <c r="E57" i="7" s="1"/>
  <c r="H56" i="6"/>
  <c r="H96" i="6"/>
</calcChain>
</file>

<file path=xl/sharedStrings.xml><?xml version="1.0" encoding="utf-8"?>
<sst xmlns="http://schemas.openxmlformats.org/spreadsheetml/2006/main" count="250" uniqueCount="111">
  <si>
    <t>⑤ 在庫・仕入れ管理</t>
  </si>
  <si>
    <t>商品マスタ・仕入先・入出庫・在庫残高・棚卸しをまとめて管理するテンプレートです</t>
  </si>
  <si>
    <t>📂  シート構成</t>
  </si>
  <si>
    <t>シート名</t>
  </si>
  <si>
    <t>役割</t>
  </si>
  <si>
    <t>主な操作・入力</t>
  </si>
  <si>
    <t>①商品マスタ</t>
  </si>
  <si>
    <t>商品・価格・在庫管理フラグを登録</t>
  </si>
  <si>
    <t>「在庫管理」列で「管理する」にした商品だけ⑤在庫残高でアラートが出る</t>
  </si>
  <si>
    <t>②仕入先マスタ</t>
  </si>
  <si>
    <t>仕入先情報と発注履歴を管理</t>
  </si>
  <si>
    <r>
      <rPr>
        <sz val="9"/>
        <color rgb="FF1A1A2E"/>
        <rFont val="Noto Sans CJK SC"/>
        <family val="2"/>
      </rPr>
      <t>仕入先</t>
    </r>
    <r>
      <rPr>
        <sz val="9"/>
        <color rgb="FF1A1A2E"/>
        <rFont val="Arial"/>
        <family val="2"/>
      </rPr>
      <t>ID</t>
    </r>
    <r>
      <rPr>
        <sz val="9"/>
        <color rgb="FF1A1A2E"/>
        <rFont val="Noto Sans CJK SC"/>
        <family val="2"/>
      </rPr>
      <t>は③入庫管理で参照される。発注履歴も同シートで確認できる</t>
    </r>
  </si>
  <si>
    <t>③入庫管理</t>
  </si>
  <si>
    <t>仕入れ・入荷の記録</t>
  </si>
  <si>
    <r>
      <rPr>
        <sz val="9"/>
        <color rgb="FF1A1A2E"/>
        <rFont val="Noto Sans CJK SC"/>
        <family val="2"/>
      </rPr>
      <t>商品</t>
    </r>
    <r>
      <rPr>
        <sz val="9"/>
        <color rgb="FF1A1A2E"/>
        <rFont val="Arial"/>
        <family val="2"/>
      </rPr>
      <t>ID</t>
    </r>
    <r>
      <rPr>
        <sz val="9"/>
        <color rgb="FF1A1A2E"/>
        <rFont val="Noto Sans CJK SC"/>
        <family val="2"/>
      </rPr>
      <t>を入力すると商品名・単価が自動表示。⑤在庫残高に自動反映</t>
    </r>
  </si>
  <si>
    <t>④出庫管理</t>
  </si>
  <si>
    <t>販売・払出しの記録</t>
  </si>
  <si>
    <r>
      <rPr>
        <sz val="9"/>
        <color rgb="FF1A1A2E"/>
        <rFont val="Noto Sans CJK SC"/>
        <family val="2"/>
      </rPr>
      <t>商品</t>
    </r>
    <r>
      <rPr>
        <sz val="9"/>
        <color rgb="FF1A1A2E"/>
        <rFont val="Arial"/>
        <family val="2"/>
      </rPr>
      <t>ID</t>
    </r>
    <r>
      <rPr>
        <sz val="9"/>
        <color rgb="FF1A1A2E"/>
        <rFont val="Noto Sans CJK SC"/>
        <family val="2"/>
      </rPr>
      <t>を入力すると商品名が自動表示。⑤在庫残高に自動反映</t>
    </r>
  </si>
  <si>
    <t>⑤在庫残高</t>
  </si>
  <si>
    <t>入庫－出庫で現在庫数を自動計算・アラート表示</t>
  </si>
  <si>
    <t>「管理する」商品のみアラート対象。最低在庫を下回ると赤くなる</t>
  </si>
  <si>
    <t>⑥棚卸しシート</t>
  </si>
  <si>
    <t>定期的な実在庫確認と差異チェック</t>
  </si>
  <si>
    <t>帳簿在庫（⑤自動参照）と実在庫を比較して差異を確認する</t>
  </si>
  <si>
    <t>🔗  データの流れ（シート間のつながり）</t>
  </si>
  <si>
    <t>入力元シート</t>
  </si>
  <si>
    <t>参照先シート</t>
  </si>
  <si>
    <t>つながりの内容</t>
  </si>
  <si>
    <r>
      <rPr>
        <sz val="9"/>
        <color rgb="FF1A1A2E"/>
        <rFont val="Noto Sans CJK SC"/>
        <family val="2"/>
      </rPr>
      <t>商品</t>
    </r>
    <r>
      <rPr>
        <sz val="9"/>
        <color rgb="FF1A1A2E"/>
        <rFont val="Arial"/>
        <family val="2"/>
      </rPr>
      <t>ID</t>
    </r>
    <r>
      <rPr>
        <sz val="9"/>
        <color rgb="FF1A1A2E"/>
        <rFont val="Noto Sans CJK SC"/>
        <family val="2"/>
      </rPr>
      <t>で商品名・標準仕入単価を自動参照</t>
    </r>
  </si>
  <si>
    <r>
      <rPr>
        <sz val="9"/>
        <color rgb="FF1A1A2E"/>
        <rFont val="Noto Sans CJK SC"/>
        <family val="2"/>
      </rPr>
      <t>商品</t>
    </r>
    <r>
      <rPr>
        <sz val="9"/>
        <color rgb="FF1A1A2E"/>
        <rFont val="Arial"/>
        <family val="2"/>
      </rPr>
      <t>ID</t>
    </r>
    <r>
      <rPr>
        <sz val="9"/>
        <color rgb="FF1A1A2E"/>
        <rFont val="Noto Sans CJK SC"/>
        <family val="2"/>
      </rPr>
      <t>で商品名・販売単価を自動参照</t>
    </r>
  </si>
  <si>
    <t>最低在庫数・在庫管理フラグをアラート判定に使用</t>
  </si>
  <si>
    <r>
      <rPr>
        <sz val="9"/>
        <color rgb="FF1A1A2E"/>
        <rFont val="Noto Sans CJK SC"/>
        <family val="2"/>
      </rPr>
      <t>仕入先</t>
    </r>
    <r>
      <rPr>
        <sz val="9"/>
        <color rgb="FF1A1A2E"/>
        <rFont val="Arial"/>
        <family val="2"/>
      </rPr>
      <t>ID</t>
    </r>
    <r>
      <rPr>
        <sz val="9"/>
        <color rgb="FF1A1A2E"/>
        <rFont val="Noto Sans CJK SC"/>
        <family val="2"/>
      </rPr>
      <t>で仕入先名を自動参照</t>
    </r>
  </si>
  <si>
    <t>商品ごとの入庫数合計を在庫残高に反映</t>
  </si>
  <si>
    <t>商品ごとの出庫数合計を在庫残高に反映</t>
  </si>
  <si>
    <t>帳簿在庫数を棚卸しシートに自動参照</t>
  </si>
  <si>
    <t>💡 青字のセルは自動計算セルです。直接入力すると数式が消えるためご注意ください。</t>
  </si>
  <si>
    <t>💡 ①商品マスタの「在庫管理」列を「管理する」にした商品だけ⑤でアラートが表示されます。</t>
  </si>
  <si>
    <t>① 商品マスタ　― 商品・価格・在庫管理フラグを登録します</t>
  </si>
  <si>
    <t>※ 「在庫管理」列を「管理する」にした商品だけ⑤在庫残高でアラートが表示されます（デフォルト：管理する）</t>
  </si>
  <si>
    <r>
      <rPr>
        <b/>
        <sz val="10"/>
        <color rgb="FFFFFFFF"/>
        <rFont val="Noto Sans CJK SC"/>
        <family val="2"/>
      </rPr>
      <t>商品</t>
    </r>
    <r>
      <rPr>
        <b/>
        <sz val="10"/>
        <color rgb="FFFFFFFF"/>
        <rFont val="Arial"/>
        <family val="2"/>
      </rPr>
      <t>ID</t>
    </r>
  </si>
  <si>
    <t>商品名</t>
  </si>
  <si>
    <t>規格・単位</t>
  </si>
  <si>
    <t>仕入単価（円）</t>
  </si>
  <si>
    <t>販売単価（円）</t>
  </si>
  <si>
    <r>
      <rPr>
        <b/>
        <sz val="10"/>
        <color rgb="FFFFFFFF"/>
        <rFont val="Noto Sans CJK SC"/>
        <family val="2"/>
      </rPr>
      <t>仕入先</t>
    </r>
    <r>
      <rPr>
        <b/>
        <sz val="10"/>
        <color rgb="FFFFFFFF"/>
        <rFont val="Arial"/>
        <family val="2"/>
      </rPr>
      <t>ID</t>
    </r>
  </si>
  <si>
    <t>最低在庫数</t>
  </si>
  <si>
    <t>在庫管理</t>
  </si>
  <si>
    <t>備考</t>
  </si>
  <si>
    <t>P001</t>
  </si>
  <si>
    <r>
      <rPr>
        <i/>
        <sz val="10"/>
        <color rgb="FFAAAAAA"/>
        <rFont val="Noto Sans CJK SC"/>
        <family val="2"/>
      </rPr>
      <t>商品</t>
    </r>
    <r>
      <rPr>
        <i/>
        <sz val="10"/>
        <color rgb="FFAAAAAA"/>
        <rFont val="Arial"/>
        <family val="2"/>
      </rPr>
      <t>A</t>
    </r>
  </si>
  <si>
    <t>個</t>
  </si>
  <si>
    <t>S001</t>
  </si>
  <si>
    <t>管理する</t>
  </si>
  <si>
    <t>P002</t>
  </si>
  <si>
    <r>
      <rPr>
        <i/>
        <sz val="10"/>
        <color rgb="FFAAAAAA"/>
        <rFont val="Noto Sans CJK SC"/>
        <family val="2"/>
      </rPr>
      <t>商品</t>
    </r>
    <r>
      <rPr>
        <i/>
        <sz val="10"/>
        <color rgb="FFAAAAAA"/>
        <rFont val="Arial"/>
        <family val="2"/>
      </rPr>
      <t>B</t>
    </r>
  </si>
  <si>
    <t>箱</t>
  </si>
  <si>
    <t>P003</t>
  </si>
  <si>
    <r>
      <rPr>
        <i/>
        <sz val="10"/>
        <color rgb="FFAAAAAA"/>
        <rFont val="Noto Sans CJK SC"/>
        <family val="2"/>
      </rPr>
      <t>商品</t>
    </r>
    <r>
      <rPr>
        <i/>
        <sz val="10"/>
        <color rgb="FFAAAAAA"/>
        <rFont val="Arial"/>
        <family val="2"/>
      </rPr>
      <t>C</t>
    </r>
  </si>
  <si>
    <t>S002</t>
  </si>
  <si>
    <t>管理しない</t>
  </si>
  <si>
    <t>消耗品</t>
  </si>
  <si>
    <t>② 仕入先マスタ　― 仕入先情報を登録します</t>
  </si>
  <si>
    <r>
      <rPr>
        <i/>
        <sz val="9"/>
        <color rgb="FF888888"/>
        <rFont val="Noto Sans CJK SC"/>
        <family val="2"/>
      </rPr>
      <t>※ 仕入先</t>
    </r>
    <r>
      <rPr>
        <i/>
        <sz val="9"/>
        <color rgb="FF888888"/>
        <rFont val="Arial"/>
        <family val="2"/>
      </rPr>
      <t>ID</t>
    </r>
    <r>
      <rPr>
        <i/>
        <sz val="9"/>
        <color rgb="FF888888"/>
        <rFont val="Noto Sans CJK SC"/>
        <family val="2"/>
      </rPr>
      <t>は③入庫管理で参照されます。</t>
    </r>
  </si>
  <si>
    <t>会社名</t>
  </si>
  <si>
    <t>担当者</t>
  </si>
  <si>
    <t>電話番号</t>
  </si>
  <si>
    <t>メールアドレス</t>
  </si>
  <si>
    <t>支払サイクル</t>
  </si>
  <si>
    <t>〇〇商事</t>
  </si>
  <si>
    <t>山田太郎</t>
  </si>
  <si>
    <t>03-XXXX-XXXX</t>
  </si>
  <si>
    <t>yamada@example.com</t>
  </si>
  <si>
    <t>月末払い</t>
  </si>
  <si>
    <t>△△卸売</t>
  </si>
  <si>
    <t>鈴木花子</t>
  </si>
  <si>
    <t>06-XXXX-XXXX</t>
  </si>
  <si>
    <t>suzuki@example.com</t>
  </si>
  <si>
    <t>都度払い</t>
  </si>
  <si>
    <t>③ 入庫管理　― 仕入れ・入荷を記録します</t>
  </si>
  <si>
    <r>
      <rPr>
        <i/>
        <sz val="9"/>
        <color rgb="FF888888"/>
        <rFont val="Noto Sans CJK SC"/>
        <family val="2"/>
      </rPr>
      <t>※ 商品</t>
    </r>
    <r>
      <rPr>
        <i/>
        <sz val="9"/>
        <color rgb="FF888888"/>
        <rFont val="Arial"/>
        <family val="2"/>
      </rPr>
      <t>ID</t>
    </r>
    <r>
      <rPr>
        <i/>
        <sz val="9"/>
        <color rgb="FF888888"/>
        <rFont val="Noto Sans CJK SC"/>
        <family val="2"/>
      </rPr>
      <t>を入力すると商品名・仕入単価が自動表示されます。⑤在庫残高に自動反映されます。</t>
    </r>
  </si>
  <si>
    <r>
      <rPr>
        <b/>
        <sz val="10"/>
        <color rgb="FFFFFFFF"/>
        <rFont val="Noto Sans CJK SC"/>
        <family val="2"/>
      </rPr>
      <t>入庫</t>
    </r>
    <r>
      <rPr>
        <b/>
        <sz val="10"/>
        <color rgb="FFFFFFFF"/>
        <rFont val="Arial"/>
        <family val="2"/>
      </rPr>
      <t>ID</t>
    </r>
  </si>
  <si>
    <t>入庫日</t>
  </si>
  <si>
    <t>商品名（自動）</t>
  </si>
  <si>
    <t>数量</t>
  </si>
  <si>
    <t>仕入単価（自動）</t>
  </si>
  <si>
    <t>仕入金額（自動）</t>
  </si>
  <si>
    <t>仕入先名（自動）</t>
  </si>
  <si>
    <t>IN001</t>
  </si>
  <si>
    <t>IN002</t>
  </si>
  <si>
    <t>④ 出庫管理　― 販売・払出しを記録します</t>
  </si>
  <si>
    <r>
      <rPr>
        <i/>
        <sz val="9"/>
        <color rgb="FF888888"/>
        <rFont val="Noto Sans CJK SC"/>
        <family val="2"/>
      </rPr>
      <t>※ 商品</t>
    </r>
    <r>
      <rPr>
        <i/>
        <sz val="9"/>
        <color rgb="FF888888"/>
        <rFont val="Arial"/>
        <family val="2"/>
      </rPr>
      <t>ID</t>
    </r>
    <r>
      <rPr>
        <i/>
        <sz val="9"/>
        <color rgb="FF888888"/>
        <rFont val="Noto Sans CJK SC"/>
        <family val="2"/>
      </rPr>
      <t>を入力すると商品名・販売単価が自動表示されます。⑤在庫残高に自動反映されます。</t>
    </r>
  </si>
  <si>
    <r>
      <rPr>
        <b/>
        <sz val="10"/>
        <color rgb="FFFFFFFF"/>
        <rFont val="Noto Sans CJK SC"/>
        <family val="2"/>
      </rPr>
      <t>出庫</t>
    </r>
    <r>
      <rPr>
        <b/>
        <sz val="10"/>
        <color rgb="FFFFFFFF"/>
        <rFont val="Arial"/>
        <family val="2"/>
      </rPr>
      <t>ID</t>
    </r>
  </si>
  <si>
    <t>出庫日</t>
  </si>
  <si>
    <t>販売単価（自動）</t>
  </si>
  <si>
    <t>売上金額（自動）</t>
  </si>
  <si>
    <t>出庫先・販売先</t>
  </si>
  <si>
    <t>⑤ 在庫残高　― 入庫－出庫の現在庫数を自動計算します</t>
  </si>
  <si>
    <t>※「在庫管理＝管理する」の商品のみアラート対象です。最低在庫数を下回ると赤くハイライトされます。</t>
  </si>
  <si>
    <r>
      <rPr>
        <b/>
        <sz val="10"/>
        <color rgb="FFFFFFFF"/>
        <rFont val="Noto Sans CJK SC"/>
        <family val="2"/>
      </rPr>
      <t>商品</t>
    </r>
    <r>
      <rPr>
        <b/>
        <sz val="10"/>
        <color rgb="FFFFFFFF"/>
        <rFont val="Arial"/>
        <family val="2"/>
      </rPr>
      <t>ID</t>
    </r>
    <r>
      <rPr>
        <b/>
        <sz val="10"/>
        <color rgb="FFFFFFFF"/>
        <rFont val="Noto Sans CJK SC"/>
        <family val="2"/>
      </rPr>
      <t>（自動）</t>
    </r>
  </si>
  <si>
    <t>入庫合計（自動）</t>
  </si>
  <si>
    <t>出庫合計（自動）</t>
  </si>
  <si>
    <t>現在庫数（自動）</t>
  </si>
  <si>
    <t>状態（自動）</t>
  </si>
  <si>
    <t>⑥ 棚卸しシート　― 定期的な実在庫の確認と差異チェックをします</t>
  </si>
  <si>
    <t>※ 棚卸し日と担当者を入力し、実在庫数を記入してください。帳簿在庫（⑤自動参照）との差異が自動計算されます。</t>
  </si>
  <si>
    <t>棚卸し日</t>
  </si>
  <si>
    <t>帳簿在庫（自動）</t>
  </si>
  <si>
    <t>実在庫数（入力）</t>
  </si>
  <si>
    <t>差異（自動）</t>
  </si>
  <si>
    <t>差異コメント</t>
  </si>
  <si>
    <t>確認済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</si>
</sst>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#,##0;[Red]\-#,##0;\-"/>
  </numFmts>
  <fonts count="23">
    <font>
      <sz val="11"/>
      <color theme="1"/>
      <name val="Calibri"/>
      <family val="2"/>
      <charset val="1"/>
    </font>
    <font>
      <b/>
      <sz val="20"/>
      <color rgb="FFFFFFFF"/>
      <name val="Noto Sans CJK SC"/>
      <family val="2"/>
    </font>
    <font>
      <i/>
      <sz val="10"/>
      <color rgb="FF548235"/>
      <name val="Noto Sans CJK SC"/>
      <family val="2"/>
    </font>
    <font>
      <b/>
      <sz val="12"/>
      <color rgb="FFFFFFFF"/>
      <name val="Noto Sans CJK SC"/>
      <family val="2"/>
    </font>
    <font>
      <b/>
      <sz val="9"/>
      <color rgb="FFFFFFFF"/>
      <name val="Noto Sans CJK SC"/>
      <family val="2"/>
    </font>
    <font>
      <b/>
      <sz val="10"/>
      <color rgb="FF548235"/>
      <name val="Noto Sans CJK SC"/>
      <family val="2"/>
    </font>
    <font>
      <sz val="9"/>
      <color rgb="FF1A1A2E"/>
      <name val="Noto Sans CJK SC"/>
      <family val="2"/>
    </font>
    <font>
      <sz val="9"/>
      <color rgb="FF1A1A2E"/>
      <name val="Arial"/>
      <family val="2"/>
    </font>
    <font>
      <b/>
      <sz val="9"/>
      <color rgb="FF548235"/>
      <name val="Noto Sans CJK SC"/>
      <family val="2"/>
    </font>
    <font>
      <i/>
      <sz val="9"/>
      <color rgb="FFE06930"/>
      <name val="Noto Sans CJK SC"/>
      <family val="2"/>
    </font>
    <font>
      <i/>
      <sz val="9"/>
      <color rgb="FF548235"/>
      <name val="Noto Sans CJK SC"/>
      <family val="2"/>
    </font>
    <font>
      <b/>
      <sz val="13"/>
      <color rgb="FF548235"/>
      <name val="Noto Sans CJK SC"/>
      <family val="2"/>
    </font>
    <font>
      <i/>
      <sz val="9"/>
      <color rgb="FF888888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i/>
      <sz val="10"/>
      <color rgb="FFAAAAAA"/>
      <name val="Arial"/>
      <family val="2"/>
    </font>
    <font>
      <i/>
      <sz val="10"/>
      <color rgb="FFAAAAAA"/>
      <name val="Noto Sans CJK SC"/>
      <family val="2"/>
    </font>
    <font>
      <sz val="10"/>
      <color rgb="FF1A1A2E"/>
      <name val="Arial"/>
      <family val="2"/>
    </font>
    <font>
      <sz val="10"/>
      <color rgb="FF1A1A2E"/>
      <name val="Noto Sans CJK SC"/>
      <family val="2"/>
    </font>
    <font>
      <i/>
      <sz val="9"/>
      <color rgb="FF888888"/>
      <name val="Arial"/>
      <family val="2"/>
    </font>
    <font>
      <sz val="10"/>
      <color rgb="FF0070C0"/>
      <name val="Arial"/>
      <family val="2"/>
    </font>
    <font>
      <b/>
      <sz val="10"/>
      <color rgb="FF1A1A2E"/>
      <name val="Arial"/>
      <family val="2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548235"/>
        <bgColor rgb="FF339966"/>
      </patternFill>
    </fill>
    <fill>
      <patternFill patternType="solid">
        <fgColor rgb="FF375623"/>
        <bgColor rgb="FF276221"/>
      </patternFill>
    </fill>
    <fill>
      <patternFill patternType="solid">
        <fgColor rgb="FFE2EFDA"/>
        <bgColor rgb="FFEEEEEE"/>
      </patternFill>
    </fill>
    <fill>
      <patternFill patternType="solid">
        <fgColor rgb="FFFFFFFF"/>
        <bgColor rgb="FFEEEEEE"/>
      </patternFill>
    </fill>
  </fills>
  <borders count="6">
    <border>
      <left/>
      <right/>
      <top/>
      <bottom/>
      <diagonal/>
    </border>
    <border>
      <left style="medium">
        <color rgb="FF375623"/>
      </left>
      <right/>
      <top style="medium">
        <color rgb="FF375623"/>
      </top>
      <bottom style="medium">
        <color rgb="FF375623"/>
      </bottom>
      <diagonal/>
    </border>
    <border>
      <left style="thin">
        <color rgb="FF548235"/>
      </left>
      <right/>
      <top style="thin">
        <color rgb="FF548235"/>
      </top>
      <bottom style="thin">
        <color rgb="FF548235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548235"/>
      </left>
      <right style="thin">
        <color rgb="FF548235"/>
      </right>
      <top style="thin">
        <color rgb="FF548235"/>
      </top>
      <bottom style="thin">
        <color rgb="FF548235"/>
      </bottom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2" fillId="0" borderId="0" xfId="0" applyFont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3" fillId="2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left" vertical="center"/>
    </xf>
    <xf numFmtId="0" fontId="16" fillId="4" borderId="5" xfId="0" applyFont="1" applyFill="1" applyBorder="1" applyAlignment="1">
      <alignment horizontal="center" vertical="center"/>
    </xf>
    <xf numFmtId="3" fontId="15" fillId="4" borderId="5" xfId="0" applyNumberFormat="1" applyFont="1" applyFill="1" applyBorder="1" applyAlignment="1">
      <alignment horizontal="right" vertical="center"/>
    </xf>
    <xf numFmtId="0" fontId="15" fillId="5" borderId="5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left" vertical="center"/>
    </xf>
    <xf numFmtId="0" fontId="16" fillId="5" borderId="5" xfId="0" applyFont="1" applyFill="1" applyBorder="1" applyAlignment="1">
      <alignment horizontal="center" vertical="center"/>
    </xf>
    <xf numFmtId="3" fontId="15" fillId="5" borderId="5" xfId="0" applyNumberFormat="1" applyFont="1" applyFill="1" applyBorder="1" applyAlignment="1">
      <alignment horizontal="right" vertical="center"/>
    </xf>
    <xf numFmtId="0" fontId="17" fillId="5" borderId="5" xfId="0" applyFont="1" applyFill="1" applyBorder="1" applyAlignment="1">
      <alignment horizontal="left" vertical="center"/>
    </xf>
    <xf numFmtId="3" fontId="17" fillId="5" borderId="5" xfId="0" applyNumberFormat="1" applyFont="1" applyFill="1" applyBorder="1" applyAlignment="1">
      <alignment horizontal="right" vertical="center"/>
    </xf>
    <xf numFmtId="0" fontId="17" fillId="5" borderId="5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left" vertical="center"/>
    </xf>
    <xf numFmtId="3" fontId="17" fillId="4" borderId="5" xfId="0" applyNumberFormat="1" applyFont="1" applyFill="1" applyBorder="1" applyAlignment="1">
      <alignment horizontal="right" vertical="center"/>
    </xf>
    <xf numFmtId="0" fontId="17" fillId="4" borderId="5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left" vertical="center"/>
    </xf>
    <xf numFmtId="0" fontId="15" fillId="5" borderId="5" xfId="0" applyFont="1" applyFill="1" applyBorder="1" applyAlignment="1">
      <alignment horizontal="left" vertical="center"/>
    </xf>
    <xf numFmtId="176" fontId="15" fillId="4" borderId="5" xfId="0" applyNumberFormat="1" applyFont="1" applyFill="1" applyBorder="1" applyAlignment="1">
      <alignment horizontal="center" vertical="center"/>
    </xf>
    <xf numFmtId="3" fontId="15" fillId="4" borderId="5" xfId="0" applyNumberFormat="1" applyFont="1" applyFill="1" applyBorder="1" applyAlignment="1">
      <alignment horizontal="center" vertical="center"/>
    </xf>
    <xf numFmtId="176" fontId="15" fillId="5" borderId="5" xfId="0" applyNumberFormat="1" applyFont="1" applyFill="1" applyBorder="1" applyAlignment="1">
      <alignment horizontal="center" vertical="center"/>
    </xf>
    <xf numFmtId="3" fontId="15" fillId="5" borderId="5" xfId="0" applyNumberFormat="1" applyFont="1" applyFill="1" applyBorder="1" applyAlignment="1">
      <alignment horizontal="center" vertical="center"/>
    </xf>
    <xf numFmtId="176" fontId="17" fillId="4" borderId="5" xfId="0" applyNumberFormat="1" applyFont="1" applyFill="1" applyBorder="1" applyAlignment="1">
      <alignment horizontal="center" vertical="center"/>
    </xf>
    <xf numFmtId="0" fontId="20" fillId="4" borderId="5" xfId="0" applyFont="1" applyFill="1" applyBorder="1" applyAlignment="1">
      <alignment horizontal="left" vertical="center"/>
    </xf>
    <xf numFmtId="3" fontId="20" fillId="4" borderId="5" xfId="0" applyNumberFormat="1" applyFont="1" applyFill="1" applyBorder="1" applyAlignment="1">
      <alignment horizontal="right" vertical="center"/>
    </xf>
    <xf numFmtId="176" fontId="17" fillId="5" borderId="5" xfId="0" applyNumberFormat="1" applyFont="1" applyFill="1" applyBorder="1" applyAlignment="1">
      <alignment horizontal="center" vertical="center"/>
    </xf>
    <xf numFmtId="0" fontId="20" fillId="5" borderId="5" xfId="0" applyFont="1" applyFill="1" applyBorder="1" applyAlignment="1">
      <alignment horizontal="left" vertical="center"/>
    </xf>
    <xf numFmtId="3" fontId="20" fillId="5" borderId="5" xfId="0" applyNumberFormat="1" applyFont="1" applyFill="1" applyBorder="1" applyAlignment="1">
      <alignment horizontal="right" vertical="center"/>
    </xf>
    <xf numFmtId="0" fontId="21" fillId="4" borderId="5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left" vertical="center"/>
    </xf>
    <xf numFmtId="0" fontId="20" fillId="4" borderId="5" xfId="0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left" vertical="center"/>
    </xf>
    <xf numFmtId="0" fontId="20" fillId="5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77" fontId="20" fillId="5" borderId="5" xfId="0" applyNumberFormat="1" applyFont="1" applyFill="1" applyBorder="1" applyAlignment="1">
      <alignment horizontal="center" vertical="center"/>
    </xf>
    <xf numFmtId="177" fontId="20" fillId="4" borderId="5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10">
    <dxf>
      <font>
        <b/>
        <sz val="10"/>
        <color rgb="FFC00000"/>
        <name val="Arial"/>
        <charset val="1"/>
      </font>
      <fill>
        <patternFill>
          <bgColor rgb="FFFFC7CE"/>
        </patternFill>
      </fill>
    </dxf>
    <dxf>
      <font>
        <sz val="10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FEB9C"/>
        </patternFill>
      </fill>
    </dxf>
    <dxf>
      <font>
        <sz val="10"/>
        <color rgb="FFAAAAAA"/>
        <name val="Arial"/>
        <charset val="1"/>
      </font>
      <fill>
        <patternFill>
          <bgColor rgb="FFEEEEEE"/>
        </patternFill>
      </fill>
    </dxf>
    <dxf>
      <font>
        <sz val="10"/>
        <color rgb="FF276221"/>
        <name val="Arial"/>
        <charset val="1"/>
      </font>
      <fill>
        <patternFill>
          <bgColor rgb="FFC6EFCE"/>
        </patternFill>
      </fill>
    </dxf>
    <dxf>
      <font>
        <b/>
        <sz val="10"/>
        <color rgb="FF9C5700"/>
        <name val="Arial"/>
        <charset val="1"/>
      </font>
      <fill>
        <patternFill>
          <bgColor rgb="FFFFEB9C"/>
        </patternFill>
      </fill>
    </dxf>
    <dxf>
      <font>
        <b/>
        <sz val="10"/>
        <color rgb="FFC00000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sz val="10"/>
        <color rgb="FFAAAAAA"/>
        <name val="Arial"/>
        <charset val="1"/>
      </font>
      <fill>
        <patternFill>
          <bgColor rgb="FFEEEEE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276221"/>
      <rgbColor rgb="FF000080"/>
      <rgbColor rgb="FF548235"/>
      <rgbColor rgb="FF800080"/>
      <rgbColor rgb="FF008080"/>
      <rgbColor rgb="FFC0C0C0"/>
      <rgbColor rgb="FF888888"/>
      <rgbColor rgb="FF9999FF"/>
      <rgbColor rgb="FF993366"/>
      <rgbColor rgb="FFEEEEEE"/>
      <rgbColor rgb="FFE2EFDA"/>
      <rgbColor rgb="FF660066"/>
      <rgbColor rgb="FFFF8080"/>
      <rgbColor rgb="FF0070C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E06930"/>
      <rgbColor rgb="FF666699"/>
      <rgbColor rgb="FFAAAAAA"/>
      <rgbColor rgb="FF003366"/>
      <rgbColor rgb="FF339966"/>
      <rgbColor rgb="FF003300"/>
      <rgbColor rgb="FF375623"/>
      <rgbColor rgb="FF9C57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B1:D27"/>
  <sheetViews>
    <sheetView showGridLines="0" zoomScaleNormal="100" workbookViewId="0"/>
  </sheetViews>
  <sheetFormatPr defaultColWidth="8.6328125" defaultRowHeight="14.5"/>
  <cols>
    <col min="1" max="1" width="3" customWidth="1"/>
    <col min="2" max="2" width="22" customWidth="1"/>
    <col min="3" max="3" width="36" customWidth="1"/>
    <col min="4" max="4" width="38" customWidth="1"/>
    <col min="5" max="5" width="3" customWidth="1"/>
  </cols>
  <sheetData>
    <row r="1" spans="2:4" ht="24" customHeight="1"/>
    <row r="2" spans="2:4" ht="15.75" customHeight="1">
      <c r="B2" s="7" t="s">
        <v>0</v>
      </c>
      <c r="C2" s="7"/>
      <c r="D2" s="7"/>
    </row>
    <row r="3" spans="2:4" ht="21.75" customHeight="1">
      <c r="B3" s="6" t="s">
        <v>1</v>
      </c>
      <c r="C3" s="6"/>
      <c r="D3" s="6"/>
    </row>
    <row r="4" spans="2:4" ht="7.5" customHeight="1"/>
    <row r="5" spans="2:4" ht="25.5" customHeight="1">
      <c r="B5" s="5" t="s">
        <v>2</v>
      </c>
      <c r="C5" s="5"/>
      <c r="D5" s="5"/>
    </row>
    <row r="6" spans="2:4" ht="21.75" customHeight="1">
      <c r="B6" s="8" t="s">
        <v>3</v>
      </c>
      <c r="C6" s="8" t="s">
        <v>4</v>
      </c>
      <c r="D6" s="8" t="s">
        <v>5</v>
      </c>
    </row>
    <row r="7" spans="2:4" ht="27.75" customHeight="1">
      <c r="B7" s="9" t="s">
        <v>6</v>
      </c>
      <c r="C7" s="10" t="s">
        <v>7</v>
      </c>
      <c r="D7" s="10" t="s">
        <v>8</v>
      </c>
    </row>
    <row r="8" spans="2:4" ht="27.75" customHeight="1">
      <c r="B8" s="11" t="s">
        <v>9</v>
      </c>
      <c r="C8" s="12" t="s">
        <v>10</v>
      </c>
      <c r="D8" s="12" t="s">
        <v>11</v>
      </c>
    </row>
    <row r="9" spans="2:4" ht="27.75" customHeight="1">
      <c r="B9" s="9" t="s">
        <v>12</v>
      </c>
      <c r="C9" s="10" t="s">
        <v>13</v>
      </c>
      <c r="D9" s="10" t="s">
        <v>14</v>
      </c>
    </row>
    <row r="10" spans="2:4" ht="27.75" customHeight="1">
      <c r="B10" s="11" t="s">
        <v>15</v>
      </c>
      <c r="C10" s="12" t="s">
        <v>16</v>
      </c>
      <c r="D10" s="12" t="s">
        <v>17</v>
      </c>
    </row>
    <row r="11" spans="2:4" ht="27.75" customHeight="1">
      <c r="B11" s="9" t="s">
        <v>18</v>
      </c>
      <c r="C11" s="10" t="s">
        <v>19</v>
      </c>
      <c r="D11" s="10" t="s">
        <v>20</v>
      </c>
    </row>
    <row r="12" spans="2:4" ht="27.75" customHeight="1">
      <c r="B12" s="11" t="s">
        <v>21</v>
      </c>
      <c r="C12" s="12" t="s">
        <v>22</v>
      </c>
      <c r="D12" s="12" t="s">
        <v>23</v>
      </c>
    </row>
    <row r="14" spans="2:4" ht="12" customHeight="1"/>
    <row r="15" spans="2:4" ht="25.5" customHeight="1">
      <c r="B15" s="5" t="s">
        <v>24</v>
      </c>
      <c r="C15" s="5"/>
      <c r="D15" s="5"/>
    </row>
    <row r="16" spans="2:4" ht="21.75" customHeight="1">
      <c r="B16" s="8" t="s">
        <v>25</v>
      </c>
      <c r="C16" s="8" t="s">
        <v>26</v>
      </c>
      <c r="D16" s="8" t="s">
        <v>27</v>
      </c>
    </row>
    <row r="17" spans="2:4" ht="21.75" customHeight="1">
      <c r="B17" s="13" t="s">
        <v>6</v>
      </c>
      <c r="C17" s="13" t="s">
        <v>12</v>
      </c>
      <c r="D17" s="10" t="s">
        <v>28</v>
      </c>
    </row>
    <row r="18" spans="2:4" ht="21.75" customHeight="1">
      <c r="B18" s="14" t="s">
        <v>6</v>
      </c>
      <c r="C18" s="14" t="s">
        <v>15</v>
      </c>
      <c r="D18" s="12" t="s">
        <v>29</v>
      </c>
    </row>
    <row r="19" spans="2:4" ht="21.75" customHeight="1">
      <c r="B19" s="13" t="s">
        <v>6</v>
      </c>
      <c r="C19" s="13" t="s">
        <v>18</v>
      </c>
      <c r="D19" s="10" t="s">
        <v>30</v>
      </c>
    </row>
    <row r="20" spans="2:4" ht="21.75" customHeight="1">
      <c r="B20" s="14" t="s">
        <v>9</v>
      </c>
      <c r="C20" s="14" t="s">
        <v>12</v>
      </c>
      <c r="D20" s="12" t="s">
        <v>31</v>
      </c>
    </row>
    <row r="21" spans="2:4" ht="21.75" customHeight="1">
      <c r="B21" s="13" t="s">
        <v>12</v>
      </c>
      <c r="C21" s="13" t="s">
        <v>18</v>
      </c>
      <c r="D21" s="10" t="s">
        <v>32</v>
      </c>
    </row>
    <row r="22" spans="2:4" ht="21.75" customHeight="1">
      <c r="B22" s="14" t="s">
        <v>15</v>
      </c>
      <c r="C22" s="14" t="s">
        <v>18</v>
      </c>
      <c r="D22" s="12" t="s">
        <v>33</v>
      </c>
    </row>
    <row r="23" spans="2:4" ht="21.75" customHeight="1">
      <c r="B23" s="13" t="s">
        <v>18</v>
      </c>
      <c r="C23" s="13" t="s">
        <v>21</v>
      </c>
      <c r="D23" s="10" t="s">
        <v>34</v>
      </c>
    </row>
    <row r="26" spans="2:4" ht="19.5" customHeight="1">
      <c r="B26" s="4" t="s">
        <v>35</v>
      </c>
      <c r="C26" s="4"/>
      <c r="D26" s="4"/>
    </row>
    <row r="27" spans="2:4" ht="19.5" customHeight="1">
      <c r="B27" s="3" t="s">
        <v>36</v>
      </c>
      <c r="C27" s="3"/>
      <c r="D27" s="3"/>
    </row>
  </sheetData>
  <mergeCells count="6">
    <mergeCell ref="B27:D27"/>
    <mergeCell ref="B2:D2"/>
    <mergeCell ref="B3:D3"/>
    <mergeCell ref="B5:D5"/>
    <mergeCell ref="B15:D15"/>
    <mergeCell ref="B26:D26"/>
  </mergeCells>
  <phoneticPr fontId="22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A1:J106"/>
  <sheetViews>
    <sheetView zoomScaleNormal="100" workbookViewId="0">
      <pane ySplit="3" topLeftCell="A4" activePane="bottomLeft" state="frozen"/>
      <selection pane="bottomLeft" sqref="A1:J1"/>
    </sheetView>
  </sheetViews>
  <sheetFormatPr defaultColWidth="8.6328125" defaultRowHeight="14.5"/>
  <cols>
    <col min="1" max="1" width="12" customWidth="1"/>
    <col min="2" max="2" width="24" customWidth="1"/>
    <col min="3" max="3" width="14" customWidth="1"/>
    <col min="4" max="5" width="16" customWidth="1"/>
    <col min="6" max="6" width="12" customWidth="1"/>
    <col min="7" max="8" width="14" customWidth="1"/>
    <col min="9" max="9" width="24" customWidth="1"/>
  </cols>
  <sheetData>
    <row r="1" spans="1:10" ht="24" customHeight="1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</row>
    <row r="2" spans="1:10" ht="15.75" customHeight="1">
      <c r="A2" s="1" t="s">
        <v>38</v>
      </c>
      <c r="B2" s="1"/>
      <c r="C2" s="1"/>
      <c r="D2" s="1"/>
      <c r="E2" s="1"/>
      <c r="F2" s="1"/>
      <c r="G2" s="1"/>
      <c r="H2" s="1"/>
      <c r="I2" s="1"/>
      <c r="J2" s="1"/>
    </row>
    <row r="3" spans="1:10" ht="27.75" customHeight="1">
      <c r="A3" s="15" t="s">
        <v>39</v>
      </c>
      <c r="B3" s="15" t="s">
        <v>40</v>
      </c>
      <c r="C3" s="15" t="s">
        <v>41</v>
      </c>
      <c r="D3" s="15" t="s">
        <v>42</v>
      </c>
      <c r="E3" s="15" t="s">
        <v>43</v>
      </c>
      <c r="F3" s="15" t="s">
        <v>44</v>
      </c>
      <c r="G3" s="15" t="s">
        <v>45</v>
      </c>
      <c r="H3" s="15" t="s">
        <v>46</v>
      </c>
      <c r="I3" s="15" t="s">
        <v>47</v>
      </c>
    </row>
    <row r="4" spans="1:10" ht="19.5" customHeight="1">
      <c r="A4" s="16" t="s">
        <v>48</v>
      </c>
      <c r="B4" s="17" t="s">
        <v>49</v>
      </c>
      <c r="C4" s="18" t="s">
        <v>50</v>
      </c>
      <c r="D4" s="19">
        <v>500</v>
      </c>
      <c r="E4" s="19">
        <v>1200</v>
      </c>
      <c r="F4" s="16" t="s">
        <v>51</v>
      </c>
      <c r="G4" s="16">
        <v>10</v>
      </c>
      <c r="H4" s="18" t="s">
        <v>52</v>
      </c>
      <c r="I4" s="17"/>
    </row>
    <row r="5" spans="1:10" ht="19.5" customHeight="1">
      <c r="A5" s="20" t="s">
        <v>53</v>
      </c>
      <c r="B5" s="21" t="s">
        <v>54</v>
      </c>
      <c r="C5" s="22" t="s">
        <v>55</v>
      </c>
      <c r="D5" s="23">
        <v>2000</v>
      </c>
      <c r="E5" s="23">
        <v>4500</v>
      </c>
      <c r="F5" s="20" t="s">
        <v>51</v>
      </c>
      <c r="G5" s="20">
        <v>5</v>
      </c>
      <c r="H5" s="22" t="s">
        <v>52</v>
      </c>
      <c r="I5" s="21"/>
    </row>
    <row r="6" spans="1:10" ht="19.5" customHeight="1">
      <c r="A6" s="16" t="s">
        <v>56</v>
      </c>
      <c r="B6" s="17" t="s">
        <v>57</v>
      </c>
      <c r="C6" s="18" t="s">
        <v>50</v>
      </c>
      <c r="D6" s="19">
        <v>300</v>
      </c>
      <c r="E6" s="19">
        <v>800</v>
      </c>
      <c r="F6" s="16" t="s">
        <v>58</v>
      </c>
      <c r="G6" s="16">
        <v>0</v>
      </c>
      <c r="H6" s="18" t="s">
        <v>59</v>
      </c>
      <c r="I6" s="17" t="s">
        <v>60</v>
      </c>
    </row>
    <row r="7" spans="1:10" ht="19.5" customHeight="1">
      <c r="A7" s="24"/>
      <c r="B7" s="24"/>
      <c r="C7" s="24"/>
      <c r="D7" s="25"/>
      <c r="E7" s="25"/>
      <c r="F7" s="24"/>
      <c r="G7" s="26"/>
      <c r="H7" s="27" t="s">
        <v>52</v>
      </c>
      <c r="I7" s="24"/>
    </row>
    <row r="8" spans="1:10" ht="19.5" customHeight="1">
      <c r="A8" s="28"/>
      <c r="B8" s="28"/>
      <c r="C8" s="28"/>
      <c r="D8" s="29"/>
      <c r="E8" s="29"/>
      <c r="F8" s="28"/>
      <c r="G8" s="30"/>
      <c r="H8" s="31" t="s">
        <v>52</v>
      </c>
      <c r="I8" s="28"/>
    </row>
    <row r="9" spans="1:10" ht="19.5" customHeight="1">
      <c r="A9" s="24"/>
      <c r="B9" s="24"/>
      <c r="C9" s="24"/>
      <c r="D9" s="25"/>
      <c r="E9" s="25"/>
      <c r="F9" s="24"/>
      <c r="G9" s="26"/>
      <c r="H9" s="27" t="s">
        <v>52</v>
      </c>
      <c r="I9" s="24"/>
    </row>
    <row r="10" spans="1:10" ht="19.5" customHeight="1">
      <c r="A10" s="28"/>
      <c r="B10" s="28"/>
      <c r="C10" s="28"/>
      <c r="D10" s="29"/>
      <c r="E10" s="29"/>
      <c r="F10" s="28"/>
      <c r="G10" s="30"/>
      <c r="H10" s="31" t="s">
        <v>52</v>
      </c>
      <c r="I10" s="28"/>
    </row>
    <row r="11" spans="1:10" ht="19.5" customHeight="1">
      <c r="A11" s="24"/>
      <c r="B11" s="24"/>
      <c r="C11" s="24"/>
      <c r="D11" s="25"/>
      <c r="E11" s="25"/>
      <c r="F11" s="24"/>
      <c r="G11" s="26"/>
      <c r="H11" s="27" t="s">
        <v>52</v>
      </c>
      <c r="I11" s="24"/>
    </row>
    <row r="12" spans="1:10" ht="19.5" customHeight="1">
      <c r="A12" s="28"/>
      <c r="B12" s="28"/>
      <c r="C12" s="28"/>
      <c r="D12" s="29"/>
      <c r="E12" s="29"/>
      <c r="F12" s="28"/>
      <c r="G12" s="30"/>
      <c r="H12" s="31" t="s">
        <v>52</v>
      </c>
      <c r="I12" s="28"/>
    </row>
    <row r="13" spans="1:10" ht="19.5" customHeight="1">
      <c r="A13" s="24"/>
      <c r="B13" s="24"/>
      <c r="C13" s="24"/>
      <c r="D13" s="25"/>
      <c r="E13" s="25"/>
      <c r="F13" s="24"/>
      <c r="G13" s="26"/>
      <c r="H13" s="27" t="s">
        <v>52</v>
      </c>
      <c r="I13" s="24"/>
    </row>
    <row r="14" spans="1:10" ht="19.5" customHeight="1">
      <c r="A14" s="28"/>
      <c r="B14" s="28"/>
      <c r="C14" s="28"/>
      <c r="D14" s="29"/>
      <c r="E14" s="29"/>
      <c r="F14" s="28"/>
      <c r="G14" s="30"/>
      <c r="H14" s="31" t="s">
        <v>52</v>
      </c>
      <c r="I14" s="28"/>
    </row>
    <row r="15" spans="1:10" ht="19.5" customHeight="1">
      <c r="A15" s="24"/>
      <c r="B15" s="24"/>
      <c r="C15" s="24"/>
      <c r="D15" s="25"/>
      <c r="E15" s="25"/>
      <c r="F15" s="24"/>
      <c r="G15" s="26"/>
      <c r="H15" s="27" t="s">
        <v>52</v>
      </c>
      <c r="I15" s="24"/>
    </row>
    <row r="16" spans="1:10" ht="19.5" customHeight="1">
      <c r="A16" s="28"/>
      <c r="B16" s="28"/>
      <c r="C16" s="28"/>
      <c r="D16" s="29"/>
      <c r="E16" s="29"/>
      <c r="F16" s="28"/>
      <c r="G16" s="30"/>
      <c r="H16" s="31" t="s">
        <v>52</v>
      </c>
      <c r="I16" s="28"/>
    </row>
    <row r="17" spans="1:9" ht="19.5" customHeight="1">
      <c r="A17" s="24"/>
      <c r="B17" s="24"/>
      <c r="C17" s="24"/>
      <c r="D17" s="25"/>
      <c r="E17" s="25"/>
      <c r="F17" s="24"/>
      <c r="G17" s="26"/>
      <c r="H17" s="27" t="s">
        <v>52</v>
      </c>
      <c r="I17" s="24"/>
    </row>
    <row r="18" spans="1:9" ht="19.5" customHeight="1">
      <c r="A18" s="28"/>
      <c r="B18" s="28"/>
      <c r="C18" s="28"/>
      <c r="D18" s="29"/>
      <c r="E18" s="29"/>
      <c r="F18" s="28"/>
      <c r="G18" s="30"/>
      <c r="H18" s="31" t="s">
        <v>52</v>
      </c>
      <c r="I18" s="28"/>
    </row>
    <row r="19" spans="1:9" ht="19.5" customHeight="1">
      <c r="A19" s="24"/>
      <c r="B19" s="24"/>
      <c r="C19" s="24"/>
      <c r="D19" s="25"/>
      <c r="E19" s="25"/>
      <c r="F19" s="24"/>
      <c r="G19" s="26"/>
      <c r="H19" s="27" t="s">
        <v>52</v>
      </c>
      <c r="I19" s="24"/>
    </row>
    <row r="20" spans="1:9" ht="19.5" customHeight="1">
      <c r="A20" s="28"/>
      <c r="B20" s="28"/>
      <c r="C20" s="28"/>
      <c r="D20" s="29"/>
      <c r="E20" s="29"/>
      <c r="F20" s="28"/>
      <c r="G20" s="30"/>
      <c r="H20" s="31" t="s">
        <v>52</v>
      </c>
      <c r="I20" s="28"/>
    </row>
    <row r="21" spans="1:9" ht="19.5" customHeight="1">
      <c r="A21" s="24"/>
      <c r="B21" s="24"/>
      <c r="C21" s="24"/>
      <c r="D21" s="25"/>
      <c r="E21" s="25"/>
      <c r="F21" s="24"/>
      <c r="G21" s="26"/>
      <c r="H21" s="27" t="s">
        <v>52</v>
      </c>
      <c r="I21" s="24"/>
    </row>
    <row r="22" spans="1:9" ht="19.5" customHeight="1">
      <c r="A22" s="28"/>
      <c r="B22" s="28"/>
      <c r="C22" s="28"/>
      <c r="D22" s="29"/>
      <c r="E22" s="29"/>
      <c r="F22" s="28"/>
      <c r="G22" s="30"/>
      <c r="H22" s="31" t="s">
        <v>52</v>
      </c>
      <c r="I22" s="28"/>
    </row>
    <row r="23" spans="1:9" ht="19.5" customHeight="1">
      <c r="A23" s="24"/>
      <c r="B23" s="24"/>
      <c r="C23" s="24"/>
      <c r="D23" s="25"/>
      <c r="E23" s="25"/>
      <c r="F23" s="24"/>
      <c r="G23" s="26"/>
      <c r="H23" s="27" t="s">
        <v>52</v>
      </c>
      <c r="I23" s="24"/>
    </row>
    <row r="24" spans="1:9" ht="19.5" customHeight="1">
      <c r="A24" s="28"/>
      <c r="B24" s="28"/>
      <c r="C24" s="28"/>
      <c r="D24" s="29"/>
      <c r="E24" s="29"/>
      <c r="F24" s="28"/>
      <c r="G24" s="30"/>
      <c r="H24" s="31" t="s">
        <v>52</v>
      </c>
      <c r="I24" s="28"/>
    </row>
    <row r="25" spans="1:9" ht="19.5" customHeight="1">
      <c r="A25" s="24"/>
      <c r="B25" s="24"/>
      <c r="C25" s="24"/>
      <c r="D25" s="25"/>
      <c r="E25" s="25"/>
      <c r="F25" s="24"/>
      <c r="G25" s="26"/>
      <c r="H25" s="27" t="s">
        <v>52</v>
      </c>
      <c r="I25" s="24"/>
    </row>
    <row r="26" spans="1:9" ht="19.5" customHeight="1">
      <c r="A26" s="28"/>
      <c r="B26" s="28"/>
      <c r="C26" s="28"/>
      <c r="D26" s="29"/>
      <c r="E26" s="29"/>
      <c r="F26" s="28"/>
      <c r="G26" s="30"/>
      <c r="H26" s="31" t="s">
        <v>52</v>
      </c>
      <c r="I26" s="28"/>
    </row>
    <row r="27" spans="1:9" ht="19.5" customHeight="1">
      <c r="A27" s="24"/>
      <c r="B27" s="24"/>
      <c r="C27" s="24"/>
      <c r="D27" s="25"/>
      <c r="E27" s="25"/>
      <c r="F27" s="24"/>
      <c r="G27" s="26"/>
      <c r="H27" s="27" t="s">
        <v>52</v>
      </c>
      <c r="I27" s="24"/>
    </row>
    <row r="28" spans="1:9" ht="19.5" customHeight="1">
      <c r="A28" s="28"/>
      <c r="B28" s="28"/>
      <c r="C28" s="28"/>
      <c r="D28" s="29"/>
      <c r="E28" s="29"/>
      <c r="F28" s="28"/>
      <c r="G28" s="30"/>
      <c r="H28" s="31" t="s">
        <v>52</v>
      </c>
      <c r="I28" s="28"/>
    </row>
    <row r="29" spans="1:9" ht="19.5" customHeight="1">
      <c r="A29" s="24"/>
      <c r="B29" s="24"/>
      <c r="C29" s="24"/>
      <c r="D29" s="25"/>
      <c r="E29" s="25"/>
      <c r="F29" s="24"/>
      <c r="G29" s="26"/>
      <c r="H29" s="27" t="s">
        <v>52</v>
      </c>
      <c r="I29" s="24"/>
    </row>
    <row r="30" spans="1:9" ht="19.5" customHeight="1">
      <c r="A30" s="28"/>
      <c r="B30" s="28"/>
      <c r="C30" s="28"/>
      <c r="D30" s="29"/>
      <c r="E30" s="29"/>
      <c r="F30" s="28"/>
      <c r="G30" s="30"/>
      <c r="H30" s="31" t="s">
        <v>52</v>
      </c>
      <c r="I30" s="28"/>
    </row>
    <row r="31" spans="1:9" ht="19.5" customHeight="1">
      <c r="A31" s="24"/>
      <c r="B31" s="24"/>
      <c r="C31" s="24"/>
      <c r="D31" s="25"/>
      <c r="E31" s="25"/>
      <c r="F31" s="24"/>
      <c r="G31" s="26"/>
      <c r="H31" s="27" t="s">
        <v>52</v>
      </c>
      <c r="I31" s="24"/>
    </row>
    <row r="32" spans="1:9" ht="19.5" customHeight="1">
      <c r="A32" s="28"/>
      <c r="B32" s="28"/>
      <c r="C32" s="28"/>
      <c r="D32" s="29"/>
      <c r="E32" s="29"/>
      <c r="F32" s="28"/>
      <c r="G32" s="30"/>
      <c r="H32" s="31" t="s">
        <v>52</v>
      </c>
      <c r="I32" s="28"/>
    </row>
    <row r="33" spans="1:9" ht="19.5" customHeight="1">
      <c r="A33" s="24"/>
      <c r="B33" s="24"/>
      <c r="C33" s="24"/>
      <c r="D33" s="25"/>
      <c r="E33" s="25"/>
      <c r="F33" s="24"/>
      <c r="G33" s="26"/>
      <c r="H33" s="27" t="s">
        <v>52</v>
      </c>
      <c r="I33" s="24"/>
    </row>
    <row r="34" spans="1:9" ht="19.5" customHeight="1">
      <c r="A34" s="28"/>
      <c r="B34" s="28"/>
      <c r="C34" s="28"/>
      <c r="D34" s="29"/>
      <c r="E34" s="29"/>
      <c r="F34" s="28"/>
      <c r="G34" s="30"/>
      <c r="H34" s="31" t="s">
        <v>52</v>
      </c>
      <c r="I34" s="28"/>
    </row>
    <row r="35" spans="1:9" ht="19.5" customHeight="1">
      <c r="A35" s="24"/>
      <c r="B35" s="24"/>
      <c r="C35" s="24"/>
      <c r="D35" s="25"/>
      <c r="E35" s="25"/>
      <c r="F35" s="24"/>
      <c r="G35" s="26"/>
      <c r="H35" s="27" t="s">
        <v>52</v>
      </c>
      <c r="I35" s="24"/>
    </row>
    <row r="36" spans="1:9" ht="19.5" customHeight="1">
      <c r="A36" s="28"/>
      <c r="B36" s="28"/>
      <c r="C36" s="28"/>
      <c r="D36" s="29"/>
      <c r="E36" s="29"/>
      <c r="F36" s="28"/>
      <c r="G36" s="30"/>
      <c r="H36" s="31" t="s">
        <v>52</v>
      </c>
      <c r="I36" s="28"/>
    </row>
    <row r="37" spans="1:9" ht="19.5" customHeight="1">
      <c r="A37" s="24"/>
      <c r="B37" s="24"/>
      <c r="C37" s="24"/>
      <c r="D37" s="25"/>
      <c r="E37" s="25"/>
      <c r="F37" s="24"/>
      <c r="G37" s="26"/>
      <c r="H37" s="27" t="s">
        <v>52</v>
      </c>
      <c r="I37" s="24"/>
    </row>
    <row r="38" spans="1:9" ht="19.5" customHeight="1">
      <c r="A38" s="28"/>
      <c r="B38" s="28"/>
      <c r="C38" s="28"/>
      <c r="D38" s="29"/>
      <c r="E38" s="29"/>
      <c r="F38" s="28"/>
      <c r="G38" s="30"/>
      <c r="H38" s="31" t="s">
        <v>52</v>
      </c>
      <c r="I38" s="28"/>
    </row>
    <row r="39" spans="1:9" ht="19.5" customHeight="1">
      <c r="A39" s="24"/>
      <c r="B39" s="24"/>
      <c r="C39" s="24"/>
      <c r="D39" s="25"/>
      <c r="E39" s="25"/>
      <c r="F39" s="24"/>
      <c r="G39" s="26"/>
      <c r="H39" s="27" t="s">
        <v>52</v>
      </c>
      <c r="I39" s="24"/>
    </row>
    <row r="40" spans="1:9" ht="19.5" customHeight="1">
      <c r="A40" s="28"/>
      <c r="B40" s="28"/>
      <c r="C40" s="28"/>
      <c r="D40" s="29"/>
      <c r="E40" s="29"/>
      <c r="F40" s="28"/>
      <c r="G40" s="30"/>
      <c r="H40" s="31" t="s">
        <v>52</v>
      </c>
      <c r="I40" s="28"/>
    </row>
    <row r="41" spans="1:9" ht="19.5" customHeight="1">
      <c r="A41" s="24"/>
      <c r="B41" s="24"/>
      <c r="C41" s="24"/>
      <c r="D41" s="25"/>
      <c r="E41" s="25"/>
      <c r="F41" s="24"/>
      <c r="G41" s="26"/>
      <c r="H41" s="27" t="s">
        <v>52</v>
      </c>
      <c r="I41" s="24"/>
    </row>
    <row r="42" spans="1:9" ht="19.5" customHeight="1">
      <c r="A42" s="28"/>
      <c r="B42" s="28"/>
      <c r="C42" s="28"/>
      <c r="D42" s="29"/>
      <c r="E42" s="29"/>
      <c r="F42" s="28"/>
      <c r="G42" s="30"/>
      <c r="H42" s="31" t="s">
        <v>52</v>
      </c>
      <c r="I42" s="28"/>
    </row>
    <row r="43" spans="1:9" ht="19.5" customHeight="1">
      <c r="A43" s="24"/>
      <c r="B43" s="24"/>
      <c r="C43" s="24"/>
      <c r="D43" s="25"/>
      <c r="E43" s="25"/>
      <c r="F43" s="24"/>
      <c r="G43" s="26"/>
      <c r="H43" s="27" t="s">
        <v>52</v>
      </c>
      <c r="I43" s="24"/>
    </row>
    <row r="44" spans="1:9" ht="19.5" customHeight="1">
      <c r="A44" s="28"/>
      <c r="B44" s="28"/>
      <c r="C44" s="28"/>
      <c r="D44" s="29"/>
      <c r="E44" s="29"/>
      <c r="F44" s="28"/>
      <c r="G44" s="30"/>
      <c r="H44" s="31" t="s">
        <v>52</v>
      </c>
      <c r="I44" s="28"/>
    </row>
    <row r="45" spans="1:9" ht="19.5" customHeight="1">
      <c r="A45" s="24"/>
      <c r="B45" s="24"/>
      <c r="C45" s="24"/>
      <c r="D45" s="25"/>
      <c r="E45" s="25"/>
      <c r="F45" s="24"/>
      <c r="G45" s="26"/>
      <c r="H45" s="27" t="s">
        <v>52</v>
      </c>
      <c r="I45" s="24"/>
    </row>
    <row r="46" spans="1:9" ht="19.5" customHeight="1">
      <c r="A46" s="28"/>
      <c r="B46" s="28"/>
      <c r="C46" s="28"/>
      <c r="D46" s="29"/>
      <c r="E46" s="29"/>
      <c r="F46" s="28"/>
      <c r="G46" s="30"/>
      <c r="H46" s="31" t="s">
        <v>52</v>
      </c>
      <c r="I46" s="28"/>
    </row>
    <row r="47" spans="1:9" ht="19.5" customHeight="1">
      <c r="A47" s="24"/>
      <c r="B47" s="24"/>
      <c r="C47" s="24"/>
      <c r="D47" s="25"/>
      <c r="E47" s="25"/>
      <c r="F47" s="24"/>
      <c r="G47" s="26"/>
      <c r="H47" s="27" t="s">
        <v>52</v>
      </c>
      <c r="I47" s="24"/>
    </row>
    <row r="48" spans="1:9" ht="19.5" customHeight="1">
      <c r="A48" s="28"/>
      <c r="B48" s="28"/>
      <c r="C48" s="28"/>
      <c r="D48" s="29"/>
      <c r="E48" s="29"/>
      <c r="F48" s="28"/>
      <c r="G48" s="30"/>
      <c r="H48" s="31" t="s">
        <v>52</v>
      </c>
      <c r="I48" s="28"/>
    </row>
    <row r="49" spans="1:9" ht="19.5" customHeight="1">
      <c r="A49" s="24"/>
      <c r="B49" s="24"/>
      <c r="C49" s="24"/>
      <c r="D49" s="25"/>
      <c r="E49" s="25"/>
      <c r="F49" s="24"/>
      <c r="G49" s="26"/>
      <c r="H49" s="27" t="s">
        <v>52</v>
      </c>
      <c r="I49" s="24"/>
    </row>
    <row r="50" spans="1:9" ht="19.5" customHeight="1">
      <c r="A50" s="28"/>
      <c r="B50" s="28"/>
      <c r="C50" s="28"/>
      <c r="D50" s="29"/>
      <c r="E50" s="29"/>
      <c r="F50" s="28"/>
      <c r="G50" s="30"/>
      <c r="H50" s="31" t="s">
        <v>52</v>
      </c>
      <c r="I50" s="28"/>
    </row>
    <row r="51" spans="1:9" ht="19.5" customHeight="1">
      <c r="A51" s="24"/>
      <c r="B51" s="24"/>
      <c r="C51" s="24"/>
      <c r="D51" s="25"/>
      <c r="E51" s="25"/>
      <c r="F51" s="24"/>
      <c r="G51" s="26"/>
      <c r="H51" s="27" t="s">
        <v>52</v>
      </c>
      <c r="I51" s="24"/>
    </row>
    <row r="52" spans="1:9" ht="19.5" customHeight="1">
      <c r="A52" s="28"/>
      <c r="B52" s="28"/>
      <c r="C52" s="28"/>
      <c r="D52" s="29"/>
      <c r="E52" s="29"/>
      <c r="F52" s="28"/>
      <c r="G52" s="30"/>
      <c r="H52" s="31" t="s">
        <v>52</v>
      </c>
      <c r="I52" s="28"/>
    </row>
    <row r="53" spans="1:9" ht="19.5" customHeight="1">
      <c r="A53" s="24"/>
      <c r="B53" s="24"/>
      <c r="C53" s="24"/>
      <c r="D53" s="25"/>
      <c r="E53" s="25"/>
      <c r="F53" s="24"/>
      <c r="G53" s="26"/>
      <c r="H53" s="27" t="s">
        <v>52</v>
      </c>
      <c r="I53" s="24"/>
    </row>
    <row r="54" spans="1:9" ht="19.5" customHeight="1">
      <c r="A54" s="28"/>
      <c r="B54" s="28"/>
      <c r="C54" s="28"/>
      <c r="D54" s="29"/>
      <c r="E54" s="29"/>
      <c r="F54" s="28"/>
      <c r="G54" s="30"/>
      <c r="H54" s="31" t="s">
        <v>52</v>
      </c>
      <c r="I54" s="28"/>
    </row>
    <row r="55" spans="1:9" ht="19.5" customHeight="1">
      <c r="A55" s="24"/>
      <c r="B55" s="24"/>
      <c r="C55" s="24"/>
      <c r="D55" s="25"/>
      <c r="E55" s="25"/>
      <c r="F55" s="24"/>
      <c r="G55" s="26"/>
      <c r="H55" s="27" t="s">
        <v>52</v>
      </c>
      <c r="I55" s="24"/>
    </row>
    <row r="56" spans="1:9" ht="19.5" customHeight="1">
      <c r="A56" s="28"/>
      <c r="B56" s="28"/>
      <c r="C56" s="28"/>
      <c r="D56" s="29"/>
      <c r="E56" s="29"/>
      <c r="F56" s="28"/>
      <c r="G56" s="30"/>
      <c r="H56" s="31" t="s">
        <v>52</v>
      </c>
      <c r="I56" s="28"/>
    </row>
    <row r="57" spans="1:9" ht="19.5" customHeight="1">
      <c r="A57" s="24"/>
      <c r="B57" s="24"/>
      <c r="C57" s="24"/>
      <c r="D57" s="25"/>
      <c r="E57" s="25"/>
      <c r="F57" s="24"/>
      <c r="G57" s="26"/>
      <c r="H57" s="27" t="s">
        <v>52</v>
      </c>
      <c r="I57" s="24"/>
    </row>
    <row r="58" spans="1:9" ht="19.5" customHeight="1">
      <c r="A58" s="28"/>
      <c r="B58" s="28"/>
      <c r="C58" s="28"/>
      <c r="D58" s="29"/>
      <c r="E58" s="29"/>
      <c r="F58" s="28"/>
      <c r="G58" s="30"/>
      <c r="H58" s="31" t="s">
        <v>52</v>
      </c>
      <c r="I58" s="28"/>
    </row>
    <row r="59" spans="1:9" ht="19.5" customHeight="1">
      <c r="A59" s="24"/>
      <c r="B59" s="24"/>
      <c r="C59" s="24"/>
      <c r="D59" s="25"/>
      <c r="E59" s="25"/>
      <c r="F59" s="24"/>
      <c r="G59" s="26"/>
      <c r="H59" s="27" t="s">
        <v>52</v>
      </c>
      <c r="I59" s="24"/>
    </row>
    <row r="60" spans="1:9" ht="19.5" customHeight="1">
      <c r="A60" s="28"/>
      <c r="B60" s="28"/>
      <c r="C60" s="28"/>
      <c r="D60" s="29"/>
      <c r="E60" s="29"/>
      <c r="F60" s="28"/>
      <c r="G60" s="30"/>
      <c r="H60" s="31" t="s">
        <v>52</v>
      </c>
      <c r="I60" s="28"/>
    </row>
    <row r="61" spans="1:9" ht="19.5" customHeight="1">
      <c r="A61" s="24"/>
      <c r="B61" s="24"/>
      <c r="C61" s="24"/>
      <c r="D61" s="25"/>
      <c r="E61" s="25"/>
      <c r="F61" s="24"/>
      <c r="G61" s="26"/>
      <c r="H61" s="27" t="s">
        <v>52</v>
      </c>
      <c r="I61" s="24"/>
    </row>
    <row r="62" spans="1:9" ht="19.5" customHeight="1">
      <c r="A62" s="28"/>
      <c r="B62" s="28"/>
      <c r="C62" s="28"/>
      <c r="D62" s="29"/>
      <c r="E62" s="29"/>
      <c r="F62" s="28"/>
      <c r="G62" s="30"/>
      <c r="H62" s="31" t="s">
        <v>52</v>
      </c>
      <c r="I62" s="28"/>
    </row>
    <row r="63" spans="1:9" ht="19.5" customHeight="1">
      <c r="A63" s="24"/>
      <c r="B63" s="24"/>
      <c r="C63" s="24"/>
      <c r="D63" s="25"/>
      <c r="E63" s="25"/>
      <c r="F63" s="24"/>
      <c r="G63" s="26"/>
      <c r="H63" s="27" t="s">
        <v>52</v>
      </c>
      <c r="I63" s="24"/>
    </row>
    <row r="64" spans="1:9" ht="19.5" customHeight="1">
      <c r="A64" s="28"/>
      <c r="B64" s="28"/>
      <c r="C64" s="28"/>
      <c r="D64" s="29"/>
      <c r="E64" s="29"/>
      <c r="F64" s="28"/>
      <c r="G64" s="30"/>
      <c r="H64" s="31" t="s">
        <v>52</v>
      </c>
      <c r="I64" s="28"/>
    </row>
    <row r="65" spans="1:9" ht="19.5" customHeight="1">
      <c r="A65" s="24"/>
      <c r="B65" s="24"/>
      <c r="C65" s="24"/>
      <c r="D65" s="25"/>
      <c r="E65" s="25"/>
      <c r="F65" s="24"/>
      <c r="G65" s="26"/>
      <c r="H65" s="27" t="s">
        <v>52</v>
      </c>
      <c r="I65" s="24"/>
    </row>
    <row r="66" spans="1:9" ht="19.5" customHeight="1">
      <c r="A66" s="28"/>
      <c r="B66" s="28"/>
      <c r="C66" s="28"/>
      <c r="D66" s="29"/>
      <c r="E66" s="29"/>
      <c r="F66" s="28"/>
      <c r="G66" s="30"/>
      <c r="H66" s="31" t="s">
        <v>52</v>
      </c>
      <c r="I66" s="28"/>
    </row>
    <row r="67" spans="1:9" ht="19.5" customHeight="1">
      <c r="A67" s="24"/>
      <c r="B67" s="24"/>
      <c r="C67" s="24"/>
      <c r="D67" s="25"/>
      <c r="E67" s="25"/>
      <c r="F67" s="24"/>
      <c r="G67" s="26"/>
      <c r="H67" s="27" t="s">
        <v>52</v>
      </c>
      <c r="I67" s="24"/>
    </row>
    <row r="68" spans="1:9" ht="19.5" customHeight="1">
      <c r="A68" s="28"/>
      <c r="B68" s="28"/>
      <c r="C68" s="28"/>
      <c r="D68" s="29"/>
      <c r="E68" s="29"/>
      <c r="F68" s="28"/>
      <c r="G68" s="30"/>
      <c r="H68" s="31" t="s">
        <v>52</v>
      </c>
      <c r="I68" s="28"/>
    </row>
    <row r="69" spans="1:9" ht="19.5" customHeight="1">
      <c r="A69" s="24"/>
      <c r="B69" s="24"/>
      <c r="C69" s="24"/>
      <c r="D69" s="25"/>
      <c r="E69" s="25"/>
      <c r="F69" s="24"/>
      <c r="G69" s="26"/>
      <c r="H69" s="27" t="s">
        <v>52</v>
      </c>
      <c r="I69" s="24"/>
    </row>
    <row r="70" spans="1:9" ht="19.5" customHeight="1">
      <c r="A70" s="28"/>
      <c r="B70" s="28"/>
      <c r="C70" s="28"/>
      <c r="D70" s="29"/>
      <c r="E70" s="29"/>
      <c r="F70" s="28"/>
      <c r="G70" s="30"/>
      <c r="H70" s="31" t="s">
        <v>52</v>
      </c>
      <c r="I70" s="28"/>
    </row>
    <row r="71" spans="1:9" ht="19.5" customHeight="1">
      <c r="A71" s="24"/>
      <c r="B71" s="24"/>
      <c r="C71" s="24"/>
      <c r="D71" s="25"/>
      <c r="E71" s="25"/>
      <c r="F71" s="24"/>
      <c r="G71" s="26"/>
      <c r="H71" s="27" t="s">
        <v>52</v>
      </c>
      <c r="I71" s="24"/>
    </row>
    <row r="72" spans="1:9" ht="19.5" customHeight="1">
      <c r="A72" s="28"/>
      <c r="B72" s="28"/>
      <c r="C72" s="28"/>
      <c r="D72" s="29"/>
      <c r="E72" s="29"/>
      <c r="F72" s="28"/>
      <c r="G72" s="30"/>
      <c r="H72" s="31" t="s">
        <v>52</v>
      </c>
      <c r="I72" s="28"/>
    </row>
    <row r="73" spans="1:9" ht="19.5" customHeight="1">
      <c r="A73" s="24"/>
      <c r="B73" s="24"/>
      <c r="C73" s="24"/>
      <c r="D73" s="25"/>
      <c r="E73" s="25"/>
      <c r="F73" s="24"/>
      <c r="G73" s="26"/>
      <c r="H73" s="27" t="s">
        <v>52</v>
      </c>
      <c r="I73" s="24"/>
    </row>
    <row r="74" spans="1:9" ht="19.5" customHeight="1">
      <c r="A74" s="28"/>
      <c r="B74" s="28"/>
      <c r="C74" s="28"/>
      <c r="D74" s="29"/>
      <c r="E74" s="29"/>
      <c r="F74" s="28"/>
      <c r="G74" s="30"/>
      <c r="H74" s="31" t="s">
        <v>52</v>
      </c>
      <c r="I74" s="28"/>
    </row>
    <row r="75" spans="1:9" ht="19.5" customHeight="1">
      <c r="A75" s="24"/>
      <c r="B75" s="24"/>
      <c r="C75" s="24"/>
      <c r="D75" s="25"/>
      <c r="E75" s="25"/>
      <c r="F75" s="24"/>
      <c r="G75" s="26"/>
      <c r="H75" s="27" t="s">
        <v>52</v>
      </c>
      <c r="I75" s="24"/>
    </row>
    <row r="76" spans="1:9" ht="19.5" customHeight="1">
      <c r="A76" s="28"/>
      <c r="B76" s="28"/>
      <c r="C76" s="28"/>
      <c r="D76" s="29"/>
      <c r="E76" s="29"/>
      <c r="F76" s="28"/>
      <c r="G76" s="30"/>
      <c r="H76" s="31" t="s">
        <v>52</v>
      </c>
      <c r="I76" s="28"/>
    </row>
    <row r="77" spans="1:9" ht="19.5" customHeight="1">
      <c r="A77" s="24"/>
      <c r="B77" s="24"/>
      <c r="C77" s="24"/>
      <c r="D77" s="25"/>
      <c r="E77" s="25"/>
      <c r="F77" s="24"/>
      <c r="G77" s="26"/>
      <c r="H77" s="27" t="s">
        <v>52</v>
      </c>
      <c r="I77" s="24"/>
    </row>
    <row r="78" spans="1:9" ht="19.5" customHeight="1">
      <c r="A78" s="28"/>
      <c r="B78" s="28"/>
      <c r="C78" s="28"/>
      <c r="D78" s="29"/>
      <c r="E78" s="29"/>
      <c r="F78" s="28"/>
      <c r="G78" s="30"/>
      <c r="H78" s="31" t="s">
        <v>52</v>
      </c>
      <c r="I78" s="28"/>
    </row>
    <row r="79" spans="1:9" ht="19.5" customHeight="1">
      <c r="A79" s="24"/>
      <c r="B79" s="24"/>
      <c r="C79" s="24"/>
      <c r="D79" s="25"/>
      <c r="E79" s="25"/>
      <c r="F79" s="24"/>
      <c r="G79" s="26"/>
      <c r="H79" s="27" t="s">
        <v>52</v>
      </c>
      <c r="I79" s="24"/>
    </row>
    <row r="80" spans="1:9" ht="19.5" customHeight="1">
      <c r="A80" s="28"/>
      <c r="B80" s="28"/>
      <c r="C80" s="28"/>
      <c r="D80" s="29"/>
      <c r="E80" s="29"/>
      <c r="F80" s="28"/>
      <c r="G80" s="30"/>
      <c r="H80" s="31" t="s">
        <v>52</v>
      </c>
      <c r="I80" s="28"/>
    </row>
    <row r="81" spans="1:9" ht="19.5" customHeight="1">
      <c r="A81" s="24"/>
      <c r="B81" s="24"/>
      <c r="C81" s="24"/>
      <c r="D81" s="25"/>
      <c r="E81" s="25"/>
      <c r="F81" s="24"/>
      <c r="G81" s="26"/>
      <c r="H81" s="27" t="s">
        <v>52</v>
      </c>
      <c r="I81" s="24"/>
    </row>
    <row r="82" spans="1:9" ht="19.5" customHeight="1">
      <c r="A82" s="28"/>
      <c r="B82" s="28"/>
      <c r="C82" s="28"/>
      <c r="D82" s="29"/>
      <c r="E82" s="29"/>
      <c r="F82" s="28"/>
      <c r="G82" s="30"/>
      <c r="H82" s="31" t="s">
        <v>52</v>
      </c>
      <c r="I82" s="28"/>
    </row>
    <row r="83" spans="1:9" ht="19.5" customHeight="1">
      <c r="A83" s="24"/>
      <c r="B83" s="24"/>
      <c r="C83" s="24"/>
      <c r="D83" s="25"/>
      <c r="E83" s="25"/>
      <c r="F83" s="24"/>
      <c r="G83" s="26"/>
      <c r="H83" s="27" t="s">
        <v>52</v>
      </c>
      <c r="I83" s="24"/>
    </row>
    <row r="84" spans="1:9" ht="19.5" customHeight="1">
      <c r="A84" s="28"/>
      <c r="B84" s="28"/>
      <c r="C84" s="28"/>
      <c r="D84" s="29"/>
      <c r="E84" s="29"/>
      <c r="F84" s="28"/>
      <c r="G84" s="30"/>
      <c r="H84" s="31" t="s">
        <v>52</v>
      </c>
      <c r="I84" s="28"/>
    </row>
    <row r="85" spans="1:9" ht="19.5" customHeight="1">
      <c r="A85" s="24"/>
      <c r="B85" s="24"/>
      <c r="C85" s="24"/>
      <c r="D85" s="25"/>
      <c r="E85" s="25"/>
      <c r="F85" s="24"/>
      <c r="G85" s="26"/>
      <c r="H85" s="27" t="s">
        <v>52</v>
      </c>
      <c r="I85" s="24"/>
    </row>
    <row r="86" spans="1:9" ht="19.5" customHeight="1">
      <c r="A86" s="28"/>
      <c r="B86" s="28"/>
      <c r="C86" s="28"/>
      <c r="D86" s="29"/>
      <c r="E86" s="29"/>
      <c r="F86" s="28"/>
      <c r="G86" s="30"/>
      <c r="H86" s="31" t="s">
        <v>52</v>
      </c>
      <c r="I86" s="28"/>
    </row>
    <row r="87" spans="1:9" ht="19.5" customHeight="1">
      <c r="A87" s="24"/>
      <c r="B87" s="24"/>
      <c r="C87" s="24"/>
      <c r="D87" s="25"/>
      <c r="E87" s="25"/>
      <c r="F87" s="24"/>
      <c r="G87" s="26"/>
      <c r="H87" s="27" t="s">
        <v>52</v>
      </c>
      <c r="I87" s="24"/>
    </row>
    <row r="88" spans="1:9" ht="19.5" customHeight="1">
      <c r="A88" s="28"/>
      <c r="B88" s="28"/>
      <c r="C88" s="28"/>
      <c r="D88" s="29"/>
      <c r="E88" s="29"/>
      <c r="F88" s="28"/>
      <c r="G88" s="30"/>
      <c r="H88" s="31" t="s">
        <v>52</v>
      </c>
      <c r="I88" s="28"/>
    </row>
    <row r="89" spans="1:9" ht="19.5" customHeight="1">
      <c r="A89" s="24"/>
      <c r="B89" s="24"/>
      <c r="C89" s="24"/>
      <c r="D89" s="25"/>
      <c r="E89" s="25"/>
      <c r="F89" s="24"/>
      <c r="G89" s="26"/>
      <c r="H89" s="27" t="s">
        <v>52</v>
      </c>
      <c r="I89" s="24"/>
    </row>
    <row r="90" spans="1:9" ht="19.5" customHeight="1">
      <c r="A90" s="28"/>
      <c r="B90" s="28"/>
      <c r="C90" s="28"/>
      <c r="D90" s="29"/>
      <c r="E90" s="29"/>
      <c r="F90" s="28"/>
      <c r="G90" s="30"/>
      <c r="H90" s="31" t="s">
        <v>52</v>
      </c>
      <c r="I90" s="28"/>
    </row>
    <row r="91" spans="1:9" ht="19.5" customHeight="1">
      <c r="A91" s="24"/>
      <c r="B91" s="24"/>
      <c r="C91" s="24"/>
      <c r="D91" s="25"/>
      <c r="E91" s="25"/>
      <c r="F91" s="24"/>
      <c r="G91" s="26"/>
      <c r="H91" s="27" t="s">
        <v>52</v>
      </c>
      <c r="I91" s="24"/>
    </row>
    <row r="92" spans="1:9" ht="19.5" customHeight="1">
      <c r="A92" s="28"/>
      <c r="B92" s="28"/>
      <c r="C92" s="28"/>
      <c r="D92" s="29"/>
      <c r="E92" s="29"/>
      <c r="F92" s="28"/>
      <c r="G92" s="30"/>
      <c r="H92" s="31" t="s">
        <v>52</v>
      </c>
      <c r="I92" s="28"/>
    </row>
    <row r="93" spans="1:9" ht="19.5" customHeight="1">
      <c r="A93" s="24"/>
      <c r="B93" s="24"/>
      <c r="C93" s="24"/>
      <c r="D93" s="25"/>
      <c r="E93" s="25"/>
      <c r="F93" s="24"/>
      <c r="G93" s="26"/>
      <c r="H93" s="27" t="s">
        <v>52</v>
      </c>
      <c r="I93" s="24"/>
    </row>
    <row r="94" spans="1:9" ht="19.5" customHeight="1">
      <c r="A94" s="28"/>
      <c r="B94" s="28"/>
      <c r="C94" s="28"/>
      <c r="D94" s="29"/>
      <c r="E94" s="29"/>
      <c r="F94" s="28"/>
      <c r="G94" s="30"/>
      <c r="H94" s="31" t="s">
        <v>52</v>
      </c>
      <c r="I94" s="28"/>
    </row>
    <row r="95" spans="1:9" ht="19.5" customHeight="1">
      <c r="A95" s="24"/>
      <c r="B95" s="24"/>
      <c r="C95" s="24"/>
      <c r="D95" s="25"/>
      <c r="E95" s="25"/>
      <c r="F95" s="24"/>
      <c r="G95" s="26"/>
      <c r="H95" s="27" t="s">
        <v>52</v>
      </c>
      <c r="I95" s="24"/>
    </row>
    <row r="96" spans="1:9" ht="19.5" customHeight="1">
      <c r="A96" s="28"/>
      <c r="B96" s="28"/>
      <c r="C96" s="28"/>
      <c r="D96" s="29"/>
      <c r="E96" s="29"/>
      <c r="F96" s="28"/>
      <c r="G96" s="30"/>
      <c r="H96" s="31" t="s">
        <v>52</v>
      </c>
      <c r="I96" s="28"/>
    </row>
    <row r="97" spans="1:9" ht="19.5" customHeight="1">
      <c r="A97" s="24"/>
      <c r="B97" s="24"/>
      <c r="C97" s="24"/>
      <c r="D97" s="25"/>
      <c r="E97" s="25"/>
      <c r="F97" s="24"/>
      <c r="G97" s="26"/>
      <c r="H97" s="27" t="s">
        <v>52</v>
      </c>
      <c r="I97" s="24"/>
    </row>
    <row r="98" spans="1:9" ht="19.5" customHeight="1">
      <c r="A98" s="28"/>
      <c r="B98" s="28"/>
      <c r="C98" s="28"/>
      <c r="D98" s="29"/>
      <c r="E98" s="29"/>
      <c r="F98" s="28"/>
      <c r="G98" s="30"/>
      <c r="H98" s="31" t="s">
        <v>52</v>
      </c>
      <c r="I98" s="28"/>
    </row>
    <row r="99" spans="1:9" ht="19.5" customHeight="1">
      <c r="A99" s="24"/>
      <c r="B99" s="24"/>
      <c r="C99" s="24"/>
      <c r="D99" s="25"/>
      <c r="E99" s="25"/>
      <c r="F99" s="24"/>
      <c r="G99" s="26"/>
      <c r="H99" s="27" t="s">
        <v>52</v>
      </c>
      <c r="I99" s="24"/>
    </row>
    <row r="100" spans="1:9" ht="19.5" customHeight="1">
      <c r="A100" s="28"/>
      <c r="B100" s="28"/>
      <c r="C100" s="28"/>
      <c r="D100" s="29"/>
      <c r="E100" s="29"/>
      <c r="F100" s="28"/>
      <c r="G100" s="30"/>
      <c r="H100" s="31" t="s">
        <v>52</v>
      </c>
      <c r="I100" s="28"/>
    </row>
    <row r="101" spans="1:9" ht="19.5" customHeight="1">
      <c r="A101" s="24"/>
      <c r="B101" s="24"/>
      <c r="C101" s="24"/>
      <c r="D101" s="25"/>
      <c r="E101" s="25"/>
      <c r="F101" s="24"/>
      <c r="G101" s="26"/>
      <c r="H101" s="27" t="s">
        <v>52</v>
      </c>
      <c r="I101" s="24"/>
    </row>
    <row r="102" spans="1:9" ht="19.5" customHeight="1">
      <c r="A102" s="28"/>
      <c r="B102" s="28"/>
      <c r="C102" s="28"/>
      <c r="D102" s="29"/>
      <c r="E102" s="29"/>
      <c r="F102" s="28"/>
      <c r="G102" s="30"/>
      <c r="H102" s="31" t="s">
        <v>52</v>
      </c>
      <c r="I102" s="28"/>
    </row>
    <row r="103" spans="1:9" ht="19.5" customHeight="1">
      <c r="A103" s="24"/>
      <c r="B103" s="24"/>
      <c r="C103" s="24"/>
      <c r="D103" s="25"/>
      <c r="E103" s="25"/>
      <c r="F103" s="24"/>
      <c r="G103" s="26"/>
      <c r="H103" s="27" t="s">
        <v>52</v>
      </c>
      <c r="I103" s="24"/>
    </row>
    <row r="104" spans="1:9" ht="19.5" customHeight="1">
      <c r="A104" s="28"/>
      <c r="B104" s="28"/>
      <c r="C104" s="28"/>
      <c r="D104" s="29"/>
      <c r="E104" s="29"/>
      <c r="F104" s="28"/>
      <c r="G104" s="30"/>
      <c r="H104" s="31" t="s">
        <v>52</v>
      </c>
      <c r="I104" s="28"/>
    </row>
    <row r="105" spans="1:9" ht="19.5" customHeight="1">
      <c r="A105" s="24"/>
      <c r="B105" s="24"/>
      <c r="C105" s="24"/>
      <c r="D105" s="25"/>
      <c r="E105" s="25"/>
      <c r="F105" s="24"/>
      <c r="G105" s="26"/>
      <c r="H105" s="27" t="s">
        <v>52</v>
      </c>
      <c r="I105" s="24"/>
    </row>
    <row r="106" spans="1:9" ht="19.5" customHeight="1">
      <c r="A106" s="28"/>
      <c r="B106" s="28"/>
      <c r="C106" s="28"/>
      <c r="D106" s="29"/>
      <c r="E106" s="29"/>
      <c r="F106" s="28"/>
      <c r="G106" s="30"/>
      <c r="H106" s="31" t="s">
        <v>52</v>
      </c>
      <c r="I106" s="28"/>
    </row>
  </sheetData>
  <mergeCells count="2">
    <mergeCell ref="A1:J1"/>
    <mergeCell ref="A2:J2"/>
  </mergeCells>
  <phoneticPr fontId="22"/>
  <conditionalFormatting sqref="A4:I106">
    <cfRule type="expression" dxfId="9" priority="2">
      <formula>$H4="管理しない"</formula>
    </cfRule>
  </conditionalFormatting>
  <dataValidations count="1">
    <dataValidation type="list" sqref="H7:H106" xr:uid="{00000000-0002-0000-0100-000000000000}">
      <formula1>"管理する,管理しない"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J55"/>
  <sheetViews>
    <sheetView zoomScaleNormal="100" workbookViewId="0">
      <pane ySplit="3" topLeftCell="A4" activePane="bottomLeft" state="frozen"/>
      <selection pane="bottomLeft" sqref="A1:J1"/>
    </sheetView>
  </sheetViews>
  <sheetFormatPr defaultColWidth="8.6328125" defaultRowHeight="14.5"/>
  <cols>
    <col min="1" max="1" width="12" customWidth="1"/>
    <col min="2" max="2" width="28" customWidth="1"/>
    <col min="3" max="3" width="16" customWidth="1"/>
    <col min="4" max="4" width="18" customWidth="1"/>
    <col min="5" max="5" width="28" customWidth="1"/>
    <col min="6" max="6" width="18" customWidth="1"/>
    <col min="7" max="7" width="24" customWidth="1"/>
  </cols>
  <sheetData>
    <row r="1" spans="1:10" ht="24" customHeight="1">
      <c r="A1" s="2" t="s">
        <v>61</v>
      </c>
      <c r="B1" s="2"/>
      <c r="C1" s="2"/>
      <c r="D1" s="2"/>
      <c r="E1" s="2"/>
      <c r="F1" s="2"/>
      <c r="G1" s="2"/>
      <c r="H1" s="2"/>
      <c r="I1" s="2"/>
      <c r="J1" s="2"/>
    </row>
    <row r="2" spans="1:10" ht="15.75" customHeight="1">
      <c r="A2" s="1" t="s">
        <v>62</v>
      </c>
      <c r="B2" s="1"/>
      <c r="C2" s="1"/>
      <c r="D2" s="1"/>
      <c r="E2" s="1"/>
      <c r="F2" s="1"/>
      <c r="G2" s="1"/>
      <c r="H2" s="1"/>
      <c r="I2" s="1"/>
      <c r="J2" s="1"/>
    </row>
    <row r="3" spans="1:10" ht="27.75" customHeight="1">
      <c r="A3" s="15" t="s">
        <v>44</v>
      </c>
      <c r="B3" s="15" t="s">
        <v>63</v>
      </c>
      <c r="C3" s="15" t="s">
        <v>64</v>
      </c>
      <c r="D3" s="15" t="s">
        <v>65</v>
      </c>
      <c r="E3" s="15" t="s">
        <v>66</v>
      </c>
      <c r="F3" s="15" t="s">
        <v>67</v>
      </c>
      <c r="G3" s="15" t="s">
        <v>47</v>
      </c>
    </row>
    <row r="4" spans="1:10" ht="19.5" customHeight="1">
      <c r="A4" s="16" t="s">
        <v>51</v>
      </c>
      <c r="B4" s="17" t="s">
        <v>68</v>
      </c>
      <c r="C4" s="17" t="s">
        <v>69</v>
      </c>
      <c r="D4" s="32" t="s">
        <v>70</v>
      </c>
      <c r="E4" s="32" t="s">
        <v>71</v>
      </c>
      <c r="F4" s="18" t="s">
        <v>72</v>
      </c>
      <c r="G4" s="32"/>
    </row>
    <row r="5" spans="1:10" ht="19.5" customHeight="1">
      <c r="A5" s="20" t="s">
        <v>58</v>
      </c>
      <c r="B5" s="21" t="s">
        <v>73</v>
      </c>
      <c r="C5" s="21" t="s">
        <v>74</v>
      </c>
      <c r="D5" s="33" t="s">
        <v>75</v>
      </c>
      <c r="E5" s="33" t="s">
        <v>76</v>
      </c>
      <c r="F5" s="22" t="s">
        <v>77</v>
      </c>
      <c r="G5" s="33"/>
    </row>
    <row r="6" spans="1:10" ht="19.5" customHeight="1">
      <c r="A6" s="28"/>
      <c r="B6" s="28"/>
      <c r="C6" s="28"/>
      <c r="D6" s="28"/>
      <c r="E6" s="28"/>
      <c r="F6" s="28"/>
      <c r="G6" s="28"/>
    </row>
    <row r="7" spans="1:10" ht="19.5" customHeight="1">
      <c r="A7" s="24"/>
      <c r="B7" s="24"/>
      <c r="C7" s="24"/>
      <c r="D7" s="24"/>
      <c r="E7" s="24"/>
      <c r="F7" s="24"/>
      <c r="G7" s="24"/>
    </row>
    <row r="8" spans="1:10" ht="19.5" customHeight="1">
      <c r="A8" s="28"/>
      <c r="B8" s="28"/>
      <c r="C8" s="28"/>
      <c r="D8" s="28"/>
      <c r="E8" s="28"/>
      <c r="F8" s="28"/>
      <c r="G8" s="28"/>
    </row>
    <row r="9" spans="1:10" ht="19.5" customHeight="1">
      <c r="A9" s="24"/>
      <c r="B9" s="24"/>
      <c r="C9" s="24"/>
      <c r="D9" s="24"/>
      <c r="E9" s="24"/>
      <c r="F9" s="24"/>
      <c r="G9" s="24"/>
    </row>
    <row r="10" spans="1:10" ht="19.5" customHeight="1">
      <c r="A10" s="28"/>
      <c r="B10" s="28"/>
      <c r="C10" s="28"/>
      <c r="D10" s="28"/>
      <c r="E10" s="28"/>
      <c r="F10" s="28"/>
      <c r="G10" s="28"/>
    </row>
    <row r="11" spans="1:10" ht="19.5" customHeight="1">
      <c r="A11" s="24"/>
      <c r="B11" s="24"/>
      <c r="C11" s="24"/>
      <c r="D11" s="24"/>
      <c r="E11" s="24"/>
      <c r="F11" s="24"/>
      <c r="G11" s="24"/>
    </row>
    <row r="12" spans="1:10" ht="19.5" customHeight="1">
      <c r="A12" s="28"/>
      <c r="B12" s="28"/>
      <c r="C12" s="28"/>
      <c r="D12" s="28"/>
      <c r="E12" s="28"/>
      <c r="F12" s="28"/>
      <c r="G12" s="28"/>
    </row>
    <row r="13" spans="1:10" ht="19.5" customHeight="1">
      <c r="A13" s="24"/>
      <c r="B13" s="24"/>
      <c r="C13" s="24"/>
      <c r="D13" s="24"/>
      <c r="E13" s="24"/>
      <c r="F13" s="24"/>
      <c r="G13" s="24"/>
    </row>
    <row r="14" spans="1:10" ht="19.5" customHeight="1">
      <c r="A14" s="28"/>
      <c r="B14" s="28"/>
      <c r="C14" s="28"/>
      <c r="D14" s="28"/>
      <c r="E14" s="28"/>
      <c r="F14" s="28"/>
      <c r="G14" s="28"/>
    </row>
    <row r="15" spans="1:10" ht="19.5" customHeight="1">
      <c r="A15" s="24"/>
      <c r="B15" s="24"/>
      <c r="C15" s="24"/>
      <c r="D15" s="24"/>
      <c r="E15" s="24"/>
      <c r="F15" s="24"/>
      <c r="G15" s="24"/>
    </row>
    <row r="16" spans="1:10" ht="19.5" customHeight="1">
      <c r="A16" s="28"/>
      <c r="B16" s="28"/>
      <c r="C16" s="28"/>
      <c r="D16" s="28"/>
      <c r="E16" s="28"/>
      <c r="F16" s="28"/>
      <c r="G16" s="28"/>
    </row>
    <row r="17" spans="1:7" ht="19.5" customHeight="1">
      <c r="A17" s="24"/>
      <c r="B17" s="24"/>
      <c r="C17" s="24"/>
      <c r="D17" s="24"/>
      <c r="E17" s="24"/>
      <c r="F17" s="24"/>
      <c r="G17" s="24"/>
    </row>
    <row r="18" spans="1:7" ht="19.5" customHeight="1">
      <c r="A18" s="28"/>
      <c r="B18" s="28"/>
      <c r="C18" s="28"/>
      <c r="D18" s="28"/>
      <c r="E18" s="28"/>
      <c r="F18" s="28"/>
      <c r="G18" s="28"/>
    </row>
    <row r="19" spans="1:7" ht="19.5" customHeight="1">
      <c r="A19" s="24"/>
      <c r="B19" s="24"/>
      <c r="C19" s="24"/>
      <c r="D19" s="24"/>
      <c r="E19" s="24"/>
      <c r="F19" s="24"/>
      <c r="G19" s="24"/>
    </row>
    <row r="20" spans="1:7" ht="19.5" customHeight="1">
      <c r="A20" s="28"/>
      <c r="B20" s="28"/>
      <c r="C20" s="28"/>
      <c r="D20" s="28"/>
      <c r="E20" s="28"/>
      <c r="F20" s="28"/>
      <c r="G20" s="28"/>
    </row>
    <row r="21" spans="1:7" ht="19.5" customHeight="1">
      <c r="A21" s="24"/>
      <c r="B21" s="24"/>
      <c r="C21" s="24"/>
      <c r="D21" s="24"/>
      <c r="E21" s="24"/>
      <c r="F21" s="24"/>
      <c r="G21" s="24"/>
    </row>
    <row r="22" spans="1:7" ht="19.5" customHeight="1">
      <c r="A22" s="28"/>
      <c r="B22" s="28"/>
      <c r="C22" s="28"/>
      <c r="D22" s="28"/>
      <c r="E22" s="28"/>
      <c r="F22" s="28"/>
      <c r="G22" s="28"/>
    </row>
    <row r="23" spans="1:7" ht="19.5" customHeight="1">
      <c r="A23" s="24"/>
      <c r="B23" s="24"/>
      <c r="C23" s="24"/>
      <c r="D23" s="24"/>
      <c r="E23" s="24"/>
      <c r="F23" s="24"/>
      <c r="G23" s="24"/>
    </row>
    <row r="24" spans="1:7" ht="19.5" customHeight="1">
      <c r="A24" s="28"/>
      <c r="B24" s="28"/>
      <c r="C24" s="28"/>
      <c r="D24" s="28"/>
      <c r="E24" s="28"/>
      <c r="F24" s="28"/>
      <c r="G24" s="28"/>
    </row>
    <row r="25" spans="1:7" ht="19.5" customHeight="1">
      <c r="A25" s="24"/>
      <c r="B25" s="24"/>
      <c r="C25" s="24"/>
      <c r="D25" s="24"/>
      <c r="E25" s="24"/>
      <c r="F25" s="24"/>
      <c r="G25" s="24"/>
    </row>
    <row r="26" spans="1:7" ht="19.5" customHeight="1">
      <c r="A26" s="28"/>
      <c r="B26" s="28"/>
      <c r="C26" s="28"/>
      <c r="D26" s="28"/>
      <c r="E26" s="28"/>
      <c r="F26" s="28"/>
      <c r="G26" s="28"/>
    </row>
    <row r="27" spans="1:7" ht="19.5" customHeight="1">
      <c r="A27" s="24"/>
      <c r="B27" s="24"/>
      <c r="C27" s="24"/>
      <c r="D27" s="24"/>
      <c r="E27" s="24"/>
      <c r="F27" s="24"/>
      <c r="G27" s="24"/>
    </row>
    <row r="28" spans="1:7" ht="19.5" customHeight="1">
      <c r="A28" s="28"/>
      <c r="B28" s="28"/>
      <c r="C28" s="28"/>
      <c r="D28" s="28"/>
      <c r="E28" s="28"/>
      <c r="F28" s="28"/>
      <c r="G28" s="28"/>
    </row>
    <row r="29" spans="1:7" ht="19.5" customHeight="1">
      <c r="A29" s="24"/>
      <c r="B29" s="24"/>
      <c r="C29" s="24"/>
      <c r="D29" s="24"/>
      <c r="E29" s="24"/>
      <c r="F29" s="24"/>
      <c r="G29" s="24"/>
    </row>
    <row r="30" spans="1:7" ht="19.5" customHeight="1">
      <c r="A30" s="28"/>
      <c r="B30" s="28"/>
      <c r="C30" s="28"/>
      <c r="D30" s="28"/>
      <c r="E30" s="28"/>
      <c r="F30" s="28"/>
      <c r="G30" s="28"/>
    </row>
    <row r="31" spans="1:7" ht="19.5" customHeight="1">
      <c r="A31" s="24"/>
      <c r="B31" s="24"/>
      <c r="C31" s="24"/>
      <c r="D31" s="24"/>
      <c r="E31" s="24"/>
      <c r="F31" s="24"/>
      <c r="G31" s="24"/>
    </row>
    <row r="32" spans="1:7" ht="19.5" customHeight="1">
      <c r="A32" s="28"/>
      <c r="B32" s="28"/>
      <c r="C32" s="28"/>
      <c r="D32" s="28"/>
      <c r="E32" s="28"/>
      <c r="F32" s="28"/>
      <c r="G32" s="28"/>
    </row>
    <row r="33" spans="1:7" ht="19.5" customHeight="1">
      <c r="A33" s="24"/>
      <c r="B33" s="24"/>
      <c r="C33" s="24"/>
      <c r="D33" s="24"/>
      <c r="E33" s="24"/>
      <c r="F33" s="24"/>
      <c r="G33" s="24"/>
    </row>
    <row r="34" spans="1:7" ht="19.5" customHeight="1">
      <c r="A34" s="28"/>
      <c r="B34" s="28"/>
      <c r="C34" s="28"/>
      <c r="D34" s="28"/>
      <c r="E34" s="28"/>
      <c r="F34" s="28"/>
      <c r="G34" s="28"/>
    </row>
    <row r="35" spans="1:7" ht="19.5" customHeight="1">
      <c r="A35" s="24"/>
      <c r="B35" s="24"/>
      <c r="C35" s="24"/>
      <c r="D35" s="24"/>
      <c r="E35" s="24"/>
      <c r="F35" s="24"/>
      <c r="G35" s="24"/>
    </row>
    <row r="36" spans="1:7" ht="19.5" customHeight="1">
      <c r="A36" s="28"/>
      <c r="B36" s="28"/>
      <c r="C36" s="28"/>
      <c r="D36" s="28"/>
      <c r="E36" s="28"/>
      <c r="F36" s="28"/>
      <c r="G36" s="28"/>
    </row>
    <row r="37" spans="1:7" ht="19.5" customHeight="1">
      <c r="A37" s="24"/>
      <c r="B37" s="24"/>
      <c r="C37" s="24"/>
      <c r="D37" s="24"/>
      <c r="E37" s="24"/>
      <c r="F37" s="24"/>
      <c r="G37" s="24"/>
    </row>
    <row r="38" spans="1:7" ht="19.5" customHeight="1">
      <c r="A38" s="28"/>
      <c r="B38" s="28"/>
      <c r="C38" s="28"/>
      <c r="D38" s="28"/>
      <c r="E38" s="28"/>
      <c r="F38" s="28"/>
      <c r="G38" s="28"/>
    </row>
    <row r="39" spans="1:7" ht="19.5" customHeight="1">
      <c r="A39" s="24"/>
      <c r="B39" s="24"/>
      <c r="C39" s="24"/>
      <c r="D39" s="24"/>
      <c r="E39" s="24"/>
      <c r="F39" s="24"/>
      <c r="G39" s="24"/>
    </row>
    <row r="40" spans="1:7" ht="19.5" customHeight="1">
      <c r="A40" s="28"/>
      <c r="B40" s="28"/>
      <c r="C40" s="28"/>
      <c r="D40" s="28"/>
      <c r="E40" s="28"/>
      <c r="F40" s="28"/>
      <c r="G40" s="28"/>
    </row>
    <row r="41" spans="1:7" ht="19.5" customHeight="1">
      <c r="A41" s="24"/>
      <c r="B41" s="24"/>
      <c r="C41" s="24"/>
      <c r="D41" s="24"/>
      <c r="E41" s="24"/>
      <c r="F41" s="24"/>
      <c r="G41" s="24"/>
    </row>
    <row r="42" spans="1:7" ht="19.5" customHeight="1">
      <c r="A42" s="28"/>
      <c r="B42" s="28"/>
      <c r="C42" s="28"/>
      <c r="D42" s="28"/>
      <c r="E42" s="28"/>
      <c r="F42" s="28"/>
      <c r="G42" s="28"/>
    </row>
    <row r="43" spans="1:7" ht="19.5" customHeight="1">
      <c r="A43" s="24"/>
      <c r="B43" s="24"/>
      <c r="C43" s="24"/>
      <c r="D43" s="24"/>
      <c r="E43" s="24"/>
      <c r="F43" s="24"/>
      <c r="G43" s="24"/>
    </row>
    <row r="44" spans="1:7" ht="19.5" customHeight="1">
      <c r="A44" s="28"/>
      <c r="B44" s="28"/>
      <c r="C44" s="28"/>
      <c r="D44" s="28"/>
      <c r="E44" s="28"/>
      <c r="F44" s="28"/>
      <c r="G44" s="28"/>
    </row>
    <row r="45" spans="1:7" ht="19.5" customHeight="1">
      <c r="A45" s="24"/>
      <c r="B45" s="24"/>
      <c r="C45" s="24"/>
      <c r="D45" s="24"/>
      <c r="E45" s="24"/>
      <c r="F45" s="24"/>
      <c r="G45" s="24"/>
    </row>
    <row r="46" spans="1:7" ht="19.5" customHeight="1">
      <c r="A46" s="28"/>
      <c r="B46" s="28"/>
      <c r="C46" s="28"/>
      <c r="D46" s="28"/>
      <c r="E46" s="28"/>
      <c r="F46" s="28"/>
      <c r="G46" s="28"/>
    </row>
    <row r="47" spans="1:7" ht="19.5" customHeight="1">
      <c r="A47" s="24"/>
      <c r="B47" s="24"/>
      <c r="C47" s="24"/>
      <c r="D47" s="24"/>
      <c r="E47" s="24"/>
      <c r="F47" s="24"/>
      <c r="G47" s="24"/>
    </row>
    <row r="48" spans="1:7" ht="19.5" customHeight="1">
      <c r="A48" s="28"/>
      <c r="B48" s="28"/>
      <c r="C48" s="28"/>
      <c r="D48" s="28"/>
      <c r="E48" s="28"/>
      <c r="F48" s="28"/>
      <c r="G48" s="28"/>
    </row>
    <row r="49" spans="1:7" ht="19.5" customHeight="1">
      <c r="A49" s="24"/>
      <c r="B49" s="24"/>
      <c r="C49" s="24"/>
      <c r="D49" s="24"/>
      <c r="E49" s="24"/>
      <c r="F49" s="24"/>
      <c r="G49" s="24"/>
    </row>
    <row r="50" spans="1:7" ht="19.5" customHeight="1">
      <c r="A50" s="28"/>
      <c r="B50" s="28"/>
      <c r="C50" s="28"/>
      <c r="D50" s="28"/>
      <c r="E50" s="28"/>
      <c r="F50" s="28"/>
      <c r="G50" s="28"/>
    </row>
    <row r="51" spans="1:7" ht="19.5" customHeight="1">
      <c r="A51" s="24"/>
      <c r="B51" s="24"/>
      <c r="C51" s="24"/>
      <c r="D51" s="24"/>
      <c r="E51" s="24"/>
      <c r="F51" s="24"/>
      <c r="G51" s="24"/>
    </row>
    <row r="52" spans="1:7" ht="19.5" customHeight="1">
      <c r="A52" s="28"/>
      <c r="B52" s="28"/>
      <c r="C52" s="28"/>
      <c r="D52" s="28"/>
      <c r="E52" s="28"/>
      <c r="F52" s="28"/>
      <c r="G52" s="28"/>
    </row>
    <row r="53" spans="1:7" ht="19.5" customHeight="1">
      <c r="A53" s="24"/>
      <c r="B53" s="24"/>
      <c r="C53" s="24"/>
      <c r="D53" s="24"/>
      <c r="E53" s="24"/>
      <c r="F53" s="24"/>
      <c r="G53" s="24"/>
    </row>
    <row r="54" spans="1:7" ht="19.5" customHeight="1">
      <c r="A54" s="28"/>
      <c r="B54" s="28"/>
      <c r="C54" s="28"/>
      <c r="D54" s="28"/>
      <c r="E54" s="28"/>
      <c r="F54" s="28"/>
      <c r="G54" s="28"/>
    </row>
    <row r="55" spans="1:7" ht="19.5" customHeight="1">
      <c r="A55" s="24"/>
      <c r="B55" s="24"/>
      <c r="C55" s="24"/>
      <c r="D55" s="24"/>
      <c r="E55" s="24"/>
      <c r="F55" s="24"/>
      <c r="G55" s="24"/>
    </row>
  </sheetData>
  <mergeCells count="2">
    <mergeCell ref="A1:J1"/>
    <mergeCell ref="A2:J2"/>
  </mergeCells>
  <phoneticPr fontId="22"/>
  <dataValidations count="1">
    <dataValidation type="list" allowBlank="1" sqref="F6:F55" xr:uid="{00000000-0002-0000-0200-000000000000}">
      <formula1>"月末払い,月次払い,都度払い,四半期払い"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235"/>
  </sheetPr>
  <dimension ref="A1:J205"/>
  <sheetViews>
    <sheetView zoomScaleNormal="100" workbookViewId="0">
      <pane ySplit="3" topLeftCell="A4" activePane="bottomLeft" state="frozen"/>
      <selection pane="bottomLeft" sqref="A1:J1"/>
    </sheetView>
  </sheetViews>
  <sheetFormatPr defaultColWidth="8.6328125" defaultRowHeight="14.5"/>
  <cols>
    <col min="1" max="1" width="10" customWidth="1"/>
    <col min="2" max="2" width="13" customWidth="1"/>
    <col min="3" max="3" width="10" customWidth="1"/>
    <col min="4" max="4" width="22" customWidth="1"/>
    <col min="5" max="5" width="8" customWidth="1"/>
    <col min="6" max="7" width="16" customWidth="1"/>
    <col min="8" max="8" width="12" customWidth="1"/>
    <col min="9" max="9" width="24" customWidth="1"/>
    <col min="10" max="10" width="20" customWidth="1"/>
  </cols>
  <sheetData>
    <row r="1" spans="1:10" ht="24" customHeight="1">
      <c r="A1" s="2" t="s">
        <v>78</v>
      </c>
      <c r="B1" s="2"/>
      <c r="C1" s="2"/>
      <c r="D1" s="2"/>
      <c r="E1" s="2"/>
      <c r="F1" s="2"/>
      <c r="G1" s="2"/>
      <c r="H1" s="2"/>
      <c r="I1" s="2"/>
      <c r="J1" s="2"/>
    </row>
    <row r="2" spans="1:10" ht="15.75" customHeight="1">
      <c r="A2" s="1" t="s">
        <v>79</v>
      </c>
      <c r="B2" s="1"/>
      <c r="C2" s="1"/>
      <c r="D2" s="1"/>
      <c r="E2" s="1"/>
      <c r="F2" s="1"/>
      <c r="G2" s="1"/>
      <c r="H2" s="1"/>
      <c r="I2" s="1"/>
      <c r="J2" s="1"/>
    </row>
    <row r="3" spans="1:10" ht="27.75" customHeight="1">
      <c r="A3" s="15" t="s">
        <v>80</v>
      </c>
      <c r="B3" s="15" t="s">
        <v>81</v>
      </c>
      <c r="C3" s="15" t="s">
        <v>39</v>
      </c>
      <c r="D3" s="15" t="s">
        <v>82</v>
      </c>
      <c r="E3" s="15" t="s">
        <v>83</v>
      </c>
      <c r="F3" s="15" t="s">
        <v>84</v>
      </c>
      <c r="G3" s="15" t="s">
        <v>85</v>
      </c>
      <c r="H3" s="15" t="s">
        <v>44</v>
      </c>
      <c r="I3" s="15" t="s">
        <v>86</v>
      </c>
      <c r="J3" s="15" t="s">
        <v>47</v>
      </c>
    </row>
    <row r="4" spans="1:10" ht="19.5" customHeight="1">
      <c r="A4" s="16" t="s">
        <v>87</v>
      </c>
      <c r="B4" s="34">
        <v>46174</v>
      </c>
      <c r="C4" s="16" t="s">
        <v>48</v>
      </c>
      <c r="D4" s="32"/>
      <c r="E4" s="35">
        <v>50</v>
      </c>
      <c r="F4" s="19"/>
      <c r="G4" s="19"/>
      <c r="H4" s="16" t="s">
        <v>51</v>
      </c>
      <c r="I4" s="32"/>
      <c r="J4" s="32"/>
    </row>
    <row r="5" spans="1:10" ht="19.5" customHeight="1">
      <c r="A5" s="20" t="s">
        <v>88</v>
      </c>
      <c r="B5" s="36">
        <v>46178</v>
      </c>
      <c r="C5" s="20" t="s">
        <v>53</v>
      </c>
      <c r="D5" s="33"/>
      <c r="E5" s="37">
        <v>20</v>
      </c>
      <c r="F5" s="23"/>
      <c r="G5" s="23"/>
      <c r="H5" s="20" t="s">
        <v>51</v>
      </c>
      <c r="I5" s="33"/>
      <c r="J5" s="33"/>
    </row>
    <row r="6" spans="1:10" ht="19.5" customHeight="1">
      <c r="A6" s="28"/>
      <c r="B6" s="38"/>
      <c r="C6" s="28"/>
      <c r="D6" s="39" t="str">
        <f>IFERROR(VLOOKUP(C6,①商品マスタ!$A$4:$I$106,2,0),"")</f>
        <v/>
      </c>
      <c r="E6" s="30"/>
      <c r="F6" s="40" t="str">
        <f>IFERROR(VLOOKUP(C6,①商品マスタ!$A$4:$I$106,4,0),"")</f>
        <v/>
      </c>
      <c r="G6" s="40" t="str">
        <f t="shared" ref="G6:G37" si="0">IFERROR(IF(AND(E6&lt;&gt;"",F6&lt;&gt;""),E6*F6,""),"")</f>
        <v/>
      </c>
      <c r="H6" s="28"/>
      <c r="I6" s="39" t="str">
        <f>IFERROR(VLOOKUP(H6,②仕入先マスタ!$A$4:$G$55,2,0),"")</f>
        <v/>
      </c>
      <c r="J6" s="28"/>
    </row>
    <row r="7" spans="1:10" ht="19.5" customHeight="1">
      <c r="A7" s="24"/>
      <c r="B7" s="41"/>
      <c r="C7" s="24"/>
      <c r="D7" s="42" t="str">
        <f>IFERROR(VLOOKUP(C7,①商品マスタ!$A$4:$I$106,2,0),"")</f>
        <v/>
      </c>
      <c r="E7" s="26"/>
      <c r="F7" s="43" t="str">
        <f>IFERROR(VLOOKUP(C7,①商品マスタ!$A$4:$I$106,4,0),"")</f>
        <v/>
      </c>
      <c r="G7" s="43" t="str">
        <f t="shared" si="0"/>
        <v/>
      </c>
      <c r="H7" s="24"/>
      <c r="I7" s="42" t="str">
        <f>IFERROR(VLOOKUP(H7,②仕入先マスタ!$A$4:$G$55,2,0),"")</f>
        <v/>
      </c>
      <c r="J7" s="24"/>
    </row>
    <row r="8" spans="1:10" ht="19.5" customHeight="1">
      <c r="A8" s="28"/>
      <c r="B8" s="38"/>
      <c r="C8" s="28"/>
      <c r="D8" s="39" t="str">
        <f>IFERROR(VLOOKUP(C8,①商品マスタ!$A$4:$I$106,2,0),"")</f>
        <v/>
      </c>
      <c r="E8" s="30"/>
      <c r="F8" s="40" t="str">
        <f>IFERROR(VLOOKUP(C8,①商品マスタ!$A$4:$I$106,4,0),"")</f>
        <v/>
      </c>
      <c r="G8" s="40" t="str">
        <f t="shared" si="0"/>
        <v/>
      </c>
      <c r="H8" s="28"/>
      <c r="I8" s="39" t="str">
        <f>IFERROR(VLOOKUP(H8,②仕入先マスタ!$A$4:$G$55,2,0),"")</f>
        <v/>
      </c>
      <c r="J8" s="28"/>
    </row>
    <row r="9" spans="1:10" ht="19.5" customHeight="1">
      <c r="A9" s="24"/>
      <c r="B9" s="41"/>
      <c r="C9" s="24"/>
      <c r="D9" s="42" t="str">
        <f>IFERROR(VLOOKUP(C9,①商品マスタ!$A$4:$I$106,2,0),"")</f>
        <v/>
      </c>
      <c r="E9" s="26"/>
      <c r="F9" s="43" t="str">
        <f>IFERROR(VLOOKUP(C9,①商品マスタ!$A$4:$I$106,4,0),"")</f>
        <v/>
      </c>
      <c r="G9" s="43" t="str">
        <f t="shared" si="0"/>
        <v/>
      </c>
      <c r="H9" s="24"/>
      <c r="I9" s="42" t="str">
        <f>IFERROR(VLOOKUP(H9,②仕入先マスタ!$A$4:$G$55,2,0),"")</f>
        <v/>
      </c>
      <c r="J9" s="24"/>
    </row>
    <row r="10" spans="1:10" ht="19.5" customHeight="1">
      <c r="A10" s="28"/>
      <c r="B10" s="38"/>
      <c r="C10" s="28"/>
      <c r="D10" s="39" t="str">
        <f>IFERROR(VLOOKUP(C10,①商品マスタ!$A$4:$I$106,2,0),"")</f>
        <v/>
      </c>
      <c r="E10" s="30"/>
      <c r="F10" s="40" t="str">
        <f>IFERROR(VLOOKUP(C10,①商品マスタ!$A$4:$I$106,4,0),"")</f>
        <v/>
      </c>
      <c r="G10" s="40" t="str">
        <f t="shared" si="0"/>
        <v/>
      </c>
      <c r="H10" s="28"/>
      <c r="I10" s="39" t="str">
        <f>IFERROR(VLOOKUP(H10,②仕入先マスタ!$A$4:$G$55,2,0),"")</f>
        <v/>
      </c>
      <c r="J10" s="28"/>
    </row>
    <row r="11" spans="1:10" ht="19.5" customHeight="1">
      <c r="A11" s="24"/>
      <c r="B11" s="41"/>
      <c r="C11" s="24"/>
      <c r="D11" s="42" t="str">
        <f>IFERROR(VLOOKUP(C11,①商品マスタ!$A$4:$I$106,2,0),"")</f>
        <v/>
      </c>
      <c r="E11" s="26"/>
      <c r="F11" s="43" t="str">
        <f>IFERROR(VLOOKUP(C11,①商品マスタ!$A$4:$I$106,4,0),"")</f>
        <v/>
      </c>
      <c r="G11" s="43" t="str">
        <f t="shared" si="0"/>
        <v/>
      </c>
      <c r="H11" s="24"/>
      <c r="I11" s="42" t="str">
        <f>IFERROR(VLOOKUP(H11,②仕入先マスタ!$A$4:$G$55,2,0),"")</f>
        <v/>
      </c>
      <c r="J11" s="24"/>
    </row>
    <row r="12" spans="1:10" ht="19.5" customHeight="1">
      <c r="A12" s="28"/>
      <c r="B12" s="38"/>
      <c r="C12" s="28"/>
      <c r="D12" s="39" t="str">
        <f>IFERROR(VLOOKUP(C12,①商品マスタ!$A$4:$I$106,2,0),"")</f>
        <v/>
      </c>
      <c r="E12" s="30"/>
      <c r="F12" s="40" t="str">
        <f>IFERROR(VLOOKUP(C12,①商品マスタ!$A$4:$I$106,4,0),"")</f>
        <v/>
      </c>
      <c r="G12" s="40" t="str">
        <f t="shared" si="0"/>
        <v/>
      </c>
      <c r="H12" s="28"/>
      <c r="I12" s="39" t="str">
        <f>IFERROR(VLOOKUP(H12,②仕入先マスタ!$A$4:$G$55,2,0),"")</f>
        <v/>
      </c>
      <c r="J12" s="28"/>
    </row>
    <row r="13" spans="1:10" ht="19.5" customHeight="1">
      <c r="A13" s="24"/>
      <c r="B13" s="41"/>
      <c r="C13" s="24"/>
      <c r="D13" s="42" t="str">
        <f>IFERROR(VLOOKUP(C13,①商品マスタ!$A$4:$I$106,2,0),"")</f>
        <v/>
      </c>
      <c r="E13" s="26"/>
      <c r="F13" s="43" t="str">
        <f>IFERROR(VLOOKUP(C13,①商品マスタ!$A$4:$I$106,4,0),"")</f>
        <v/>
      </c>
      <c r="G13" s="43" t="str">
        <f t="shared" si="0"/>
        <v/>
      </c>
      <c r="H13" s="24"/>
      <c r="I13" s="42" t="str">
        <f>IFERROR(VLOOKUP(H13,②仕入先マスタ!$A$4:$G$55,2,0),"")</f>
        <v/>
      </c>
      <c r="J13" s="24"/>
    </row>
    <row r="14" spans="1:10" ht="19.5" customHeight="1">
      <c r="A14" s="28"/>
      <c r="B14" s="38"/>
      <c r="C14" s="28"/>
      <c r="D14" s="39" t="str">
        <f>IFERROR(VLOOKUP(C14,①商品マスタ!$A$4:$I$106,2,0),"")</f>
        <v/>
      </c>
      <c r="E14" s="30"/>
      <c r="F14" s="40" t="str">
        <f>IFERROR(VLOOKUP(C14,①商品マスタ!$A$4:$I$106,4,0),"")</f>
        <v/>
      </c>
      <c r="G14" s="40" t="str">
        <f t="shared" si="0"/>
        <v/>
      </c>
      <c r="H14" s="28"/>
      <c r="I14" s="39" t="str">
        <f>IFERROR(VLOOKUP(H14,②仕入先マスタ!$A$4:$G$55,2,0),"")</f>
        <v/>
      </c>
      <c r="J14" s="28"/>
    </row>
    <row r="15" spans="1:10" ht="19.5" customHeight="1">
      <c r="A15" s="24"/>
      <c r="B15" s="41"/>
      <c r="C15" s="24"/>
      <c r="D15" s="42" t="str">
        <f>IFERROR(VLOOKUP(C15,①商品マスタ!$A$4:$I$106,2,0),"")</f>
        <v/>
      </c>
      <c r="E15" s="26"/>
      <c r="F15" s="43" t="str">
        <f>IFERROR(VLOOKUP(C15,①商品マスタ!$A$4:$I$106,4,0),"")</f>
        <v/>
      </c>
      <c r="G15" s="43" t="str">
        <f t="shared" si="0"/>
        <v/>
      </c>
      <c r="H15" s="24"/>
      <c r="I15" s="42" t="str">
        <f>IFERROR(VLOOKUP(H15,②仕入先マスタ!$A$4:$G$55,2,0),"")</f>
        <v/>
      </c>
      <c r="J15" s="24"/>
    </row>
    <row r="16" spans="1:10" ht="19.5" customHeight="1">
      <c r="A16" s="28"/>
      <c r="B16" s="38"/>
      <c r="C16" s="28"/>
      <c r="D16" s="39" t="str">
        <f>IFERROR(VLOOKUP(C16,①商品マスタ!$A$4:$I$106,2,0),"")</f>
        <v/>
      </c>
      <c r="E16" s="30"/>
      <c r="F16" s="40" t="str">
        <f>IFERROR(VLOOKUP(C16,①商品マスタ!$A$4:$I$106,4,0),"")</f>
        <v/>
      </c>
      <c r="G16" s="40" t="str">
        <f t="shared" si="0"/>
        <v/>
      </c>
      <c r="H16" s="28"/>
      <c r="I16" s="39" t="str">
        <f>IFERROR(VLOOKUP(H16,②仕入先マスタ!$A$4:$G$55,2,0),"")</f>
        <v/>
      </c>
      <c r="J16" s="28"/>
    </row>
    <row r="17" spans="1:10" ht="19.5" customHeight="1">
      <c r="A17" s="24"/>
      <c r="B17" s="41"/>
      <c r="C17" s="24"/>
      <c r="D17" s="42" t="str">
        <f>IFERROR(VLOOKUP(C17,①商品マスタ!$A$4:$I$106,2,0),"")</f>
        <v/>
      </c>
      <c r="E17" s="26"/>
      <c r="F17" s="43" t="str">
        <f>IFERROR(VLOOKUP(C17,①商品マスタ!$A$4:$I$106,4,0),"")</f>
        <v/>
      </c>
      <c r="G17" s="43" t="str">
        <f t="shared" si="0"/>
        <v/>
      </c>
      <c r="H17" s="24"/>
      <c r="I17" s="42" t="str">
        <f>IFERROR(VLOOKUP(H17,②仕入先マスタ!$A$4:$G$55,2,0),"")</f>
        <v/>
      </c>
      <c r="J17" s="24"/>
    </row>
    <row r="18" spans="1:10" ht="19.5" customHeight="1">
      <c r="A18" s="28"/>
      <c r="B18" s="38"/>
      <c r="C18" s="28"/>
      <c r="D18" s="39" t="str">
        <f>IFERROR(VLOOKUP(C18,①商品マスタ!$A$4:$I$106,2,0),"")</f>
        <v/>
      </c>
      <c r="E18" s="30"/>
      <c r="F18" s="40" t="str">
        <f>IFERROR(VLOOKUP(C18,①商品マスタ!$A$4:$I$106,4,0),"")</f>
        <v/>
      </c>
      <c r="G18" s="40" t="str">
        <f t="shared" si="0"/>
        <v/>
      </c>
      <c r="H18" s="28"/>
      <c r="I18" s="39" t="str">
        <f>IFERROR(VLOOKUP(H18,②仕入先マスタ!$A$4:$G$55,2,0),"")</f>
        <v/>
      </c>
      <c r="J18" s="28"/>
    </row>
    <row r="19" spans="1:10" ht="19.5" customHeight="1">
      <c r="A19" s="24"/>
      <c r="B19" s="41"/>
      <c r="C19" s="24"/>
      <c r="D19" s="42" t="str">
        <f>IFERROR(VLOOKUP(C19,①商品マスタ!$A$4:$I$106,2,0),"")</f>
        <v/>
      </c>
      <c r="E19" s="26"/>
      <c r="F19" s="43" t="str">
        <f>IFERROR(VLOOKUP(C19,①商品マスタ!$A$4:$I$106,4,0),"")</f>
        <v/>
      </c>
      <c r="G19" s="43" t="str">
        <f t="shared" si="0"/>
        <v/>
      </c>
      <c r="H19" s="24"/>
      <c r="I19" s="42" t="str">
        <f>IFERROR(VLOOKUP(H19,②仕入先マスタ!$A$4:$G$55,2,0),"")</f>
        <v/>
      </c>
      <c r="J19" s="24"/>
    </row>
    <row r="20" spans="1:10" ht="19.5" customHeight="1">
      <c r="A20" s="28"/>
      <c r="B20" s="38"/>
      <c r="C20" s="28"/>
      <c r="D20" s="39" t="str">
        <f>IFERROR(VLOOKUP(C20,①商品マスタ!$A$4:$I$106,2,0),"")</f>
        <v/>
      </c>
      <c r="E20" s="30"/>
      <c r="F20" s="40" t="str">
        <f>IFERROR(VLOOKUP(C20,①商品マスタ!$A$4:$I$106,4,0),"")</f>
        <v/>
      </c>
      <c r="G20" s="40" t="str">
        <f t="shared" si="0"/>
        <v/>
      </c>
      <c r="H20" s="28"/>
      <c r="I20" s="39" t="str">
        <f>IFERROR(VLOOKUP(H20,②仕入先マスタ!$A$4:$G$55,2,0),"")</f>
        <v/>
      </c>
      <c r="J20" s="28"/>
    </row>
    <row r="21" spans="1:10" ht="19.5" customHeight="1">
      <c r="A21" s="24"/>
      <c r="B21" s="41"/>
      <c r="C21" s="24"/>
      <c r="D21" s="42" t="str">
        <f>IFERROR(VLOOKUP(C21,①商品マスタ!$A$4:$I$106,2,0),"")</f>
        <v/>
      </c>
      <c r="E21" s="26"/>
      <c r="F21" s="43" t="str">
        <f>IFERROR(VLOOKUP(C21,①商品マスタ!$A$4:$I$106,4,0),"")</f>
        <v/>
      </c>
      <c r="G21" s="43" t="str">
        <f t="shared" si="0"/>
        <v/>
      </c>
      <c r="H21" s="24"/>
      <c r="I21" s="42" t="str">
        <f>IFERROR(VLOOKUP(H21,②仕入先マスタ!$A$4:$G$55,2,0),"")</f>
        <v/>
      </c>
      <c r="J21" s="24"/>
    </row>
    <row r="22" spans="1:10" ht="19.5" customHeight="1">
      <c r="A22" s="28"/>
      <c r="B22" s="38"/>
      <c r="C22" s="28"/>
      <c r="D22" s="39" t="str">
        <f>IFERROR(VLOOKUP(C22,①商品マスタ!$A$4:$I$106,2,0),"")</f>
        <v/>
      </c>
      <c r="E22" s="30"/>
      <c r="F22" s="40" t="str">
        <f>IFERROR(VLOOKUP(C22,①商品マスタ!$A$4:$I$106,4,0),"")</f>
        <v/>
      </c>
      <c r="G22" s="40" t="str">
        <f t="shared" si="0"/>
        <v/>
      </c>
      <c r="H22" s="28"/>
      <c r="I22" s="39" t="str">
        <f>IFERROR(VLOOKUP(H22,②仕入先マスタ!$A$4:$G$55,2,0),"")</f>
        <v/>
      </c>
      <c r="J22" s="28"/>
    </row>
    <row r="23" spans="1:10" ht="19.5" customHeight="1">
      <c r="A23" s="24"/>
      <c r="B23" s="41"/>
      <c r="C23" s="24"/>
      <c r="D23" s="42" t="str">
        <f>IFERROR(VLOOKUP(C23,①商品マスタ!$A$4:$I$106,2,0),"")</f>
        <v/>
      </c>
      <c r="E23" s="26"/>
      <c r="F23" s="43" t="str">
        <f>IFERROR(VLOOKUP(C23,①商品マスタ!$A$4:$I$106,4,0),"")</f>
        <v/>
      </c>
      <c r="G23" s="43" t="str">
        <f t="shared" si="0"/>
        <v/>
      </c>
      <c r="H23" s="24"/>
      <c r="I23" s="42" t="str">
        <f>IFERROR(VLOOKUP(H23,②仕入先マスタ!$A$4:$G$55,2,0),"")</f>
        <v/>
      </c>
      <c r="J23" s="24"/>
    </row>
    <row r="24" spans="1:10" ht="19.5" customHeight="1">
      <c r="A24" s="28"/>
      <c r="B24" s="38"/>
      <c r="C24" s="28"/>
      <c r="D24" s="39" t="str">
        <f>IFERROR(VLOOKUP(C24,①商品マスタ!$A$4:$I$106,2,0),"")</f>
        <v/>
      </c>
      <c r="E24" s="30"/>
      <c r="F24" s="40" t="str">
        <f>IFERROR(VLOOKUP(C24,①商品マスタ!$A$4:$I$106,4,0),"")</f>
        <v/>
      </c>
      <c r="G24" s="40" t="str">
        <f t="shared" si="0"/>
        <v/>
      </c>
      <c r="H24" s="28"/>
      <c r="I24" s="39" t="str">
        <f>IFERROR(VLOOKUP(H24,②仕入先マスタ!$A$4:$G$55,2,0),"")</f>
        <v/>
      </c>
      <c r="J24" s="28"/>
    </row>
    <row r="25" spans="1:10" ht="19.5" customHeight="1">
      <c r="A25" s="24"/>
      <c r="B25" s="41"/>
      <c r="C25" s="24"/>
      <c r="D25" s="42" t="str">
        <f>IFERROR(VLOOKUP(C25,①商品マスタ!$A$4:$I$106,2,0),"")</f>
        <v/>
      </c>
      <c r="E25" s="26"/>
      <c r="F25" s="43" t="str">
        <f>IFERROR(VLOOKUP(C25,①商品マスタ!$A$4:$I$106,4,0),"")</f>
        <v/>
      </c>
      <c r="G25" s="43" t="str">
        <f t="shared" si="0"/>
        <v/>
      </c>
      <c r="H25" s="24"/>
      <c r="I25" s="42" t="str">
        <f>IFERROR(VLOOKUP(H25,②仕入先マスタ!$A$4:$G$55,2,0),"")</f>
        <v/>
      </c>
      <c r="J25" s="24"/>
    </row>
    <row r="26" spans="1:10" ht="19.5" customHeight="1">
      <c r="A26" s="28"/>
      <c r="B26" s="38"/>
      <c r="C26" s="28"/>
      <c r="D26" s="39" t="str">
        <f>IFERROR(VLOOKUP(C26,①商品マスタ!$A$4:$I$106,2,0),"")</f>
        <v/>
      </c>
      <c r="E26" s="30"/>
      <c r="F26" s="40" t="str">
        <f>IFERROR(VLOOKUP(C26,①商品マスタ!$A$4:$I$106,4,0),"")</f>
        <v/>
      </c>
      <c r="G26" s="40" t="str">
        <f t="shared" si="0"/>
        <v/>
      </c>
      <c r="H26" s="28"/>
      <c r="I26" s="39" t="str">
        <f>IFERROR(VLOOKUP(H26,②仕入先マスタ!$A$4:$G$55,2,0),"")</f>
        <v/>
      </c>
      <c r="J26" s="28"/>
    </row>
    <row r="27" spans="1:10" ht="19.5" customHeight="1">
      <c r="A27" s="24"/>
      <c r="B27" s="41"/>
      <c r="C27" s="24"/>
      <c r="D27" s="42" t="str">
        <f>IFERROR(VLOOKUP(C27,①商品マスタ!$A$4:$I$106,2,0),"")</f>
        <v/>
      </c>
      <c r="E27" s="26"/>
      <c r="F27" s="43" t="str">
        <f>IFERROR(VLOOKUP(C27,①商品マスタ!$A$4:$I$106,4,0),"")</f>
        <v/>
      </c>
      <c r="G27" s="43" t="str">
        <f t="shared" si="0"/>
        <v/>
      </c>
      <c r="H27" s="24"/>
      <c r="I27" s="42" t="str">
        <f>IFERROR(VLOOKUP(H27,②仕入先マスタ!$A$4:$G$55,2,0),"")</f>
        <v/>
      </c>
      <c r="J27" s="24"/>
    </row>
    <row r="28" spans="1:10" ht="19.5" customHeight="1">
      <c r="A28" s="28"/>
      <c r="B28" s="38"/>
      <c r="C28" s="28"/>
      <c r="D28" s="39" t="str">
        <f>IFERROR(VLOOKUP(C28,①商品マスタ!$A$4:$I$106,2,0),"")</f>
        <v/>
      </c>
      <c r="E28" s="30"/>
      <c r="F28" s="40" t="str">
        <f>IFERROR(VLOOKUP(C28,①商品マスタ!$A$4:$I$106,4,0),"")</f>
        <v/>
      </c>
      <c r="G28" s="40" t="str">
        <f t="shared" si="0"/>
        <v/>
      </c>
      <c r="H28" s="28"/>
      <c r="I28" s="39" t="str">
        <f>IFERROR(VLOOKUP(H28,②仕入先マスタ!$A$4:$G$55,2,0),"")</f>
        <v/>
      </c>
      <c r="J28" s="28"/>
    </row>
    <row r="29" spans="1:10" ht="19.5" customHeight="1">
      <c r="A29" s="24"/>
      <c r="B29" s="41"/>
      <c r="C29" s="24"/>
      <c r="D29" s="42" t="str">
        <f>IFERROR(VLOOKUP(C29,①商品マスタ!$A$4:$I$106,2,0),"")</f>
        <v/>
      </c>
      <c r="E29" s="26"/>
      <c r="F29" s="43" t="str">
        <f>IFERROR(VLOOKUP(C29,①商品マスタ!$A$4:$I$106,4,0),"")</f>
        <v/>
      </c>
      <c r="G29" s="43" t="str">
        <f t="shared" si="0"/>
        <v/>
      </c>
      <c r="H29" s="24"/>
      <c r="I29" s="42" t="str">
        <f>IFERROR(VLOOKUP(H29,②仕入先マスタ!$A$4:$G$55,2,0),"")</f>
        <v/>
      </c>
      <c r="J29" s="24"/>
    </row>
    <row r="30" spans="1:10" ht="19.5" customHeight="1">
      <c r="A30" s="28"/>
      <c r="B30" s="38"/>
      <c r="C30" s="28"/>
      <c r="D30" s="39" t="str">
        <f>IFERROR(VLOOKUP(C30,①商品マスタ!$A$4:$I$106,2,0),"")</f>
        <v/>
      </c>
      <c r="E30" s="30"/>
      <c r="F30" s="40" t="str">
        <f>IFERROR(VLOOKUP(C30,①商品マスタ!$A$4:$I$106,4,0),"")</f>
        <v/>
      </c>
      <c r="G30" s="40" t="str">
        <f t="shared" si="0"/>
        <v/>
      </c>
      <c r="H30" s="28"/>
      <c r="I30" s="39" t="str">
        <f>IFERROR(VLOOKUP(H30,②仕入先マスタ!$A$4:$G$55,2,0),"")</f>
        <v/>
      </c>
      <c r="J30" s="28"/>
    </row>
    <row r="31" spans="1:10" ht="19.5" customHeight="1">
      <c r="A31" s="24"/>
      <c r="B31" s="41"/>
      <c r="C31" s="24"/>
      <c r="D31" s="42" t="str">
        <f>IFERROR(VLOOKUP(C31,①商品マスタ!$A$4:$I$106,2,0),"")</f>
        <v/>
      </c>
      <c r="E31" s="26"/>
      <c r="F31" s="43" t="str">
        <f>IFERROR(VLOOKUP(C31,①商品マスタ!$A$4:$I$106,4,0),"")</f>
        <v/>
      </c>
      <c r="G31" s="43" t="str">
        <f t="shared" si="0"/>
        <v/>
      </c>
      <c r="H31" s="24"/>
      <c r="I31" s="42" t="str">
        <f>IFERROR(VLOOKUP(H31,②仕入先マスタ!$A$4:$G$55,2,0),"")</f>
        <v/>
      </c>
      <c r="J31" s="24"/>
    </row>
    <row r="32" spans="1:10" ht="19.5" customHeight="1">
      <c r="A32" s="28"/>
      <c r="B32" s="38"/>
      <c r="C32" s="28"/>
      <c r="D32" s="39" t="str">
        <f>IFERROR(VLOOKUP(C32,①商品マスタ!$A$4:$I$106,2,0),"")</f>
        <v/>
      </c>
      <c r="E32" s="30"/>
      <c r="F32" s="40" t="str">
        <f>IFERROR(VLOOKUP(C32,①商品マスタ!$A$4:$I$106,4,0),"")</f>
        <v/>
      </c>
      <c r="G32" s="40" t="str">
        <f t="shared" si="0"/>
        <v/>
      </c>
      <c r="H32" s="28"/>
      <c r="I32" s="39" t="str">
        <f>IFERROR(VLOOKUP(H32,②仕入先マスタ!$A$4:$G$55,2,0),"")</f>
        <v/>
      </c>
      <c r="J32" s="28"/>
    </row>
    <row r="33" spans="1:10" ht="19.5" customHeight="1">
      <c r="A33" s="24"/>
      <c r="B33" s="41"/>
      <c r="C33" s="24"/>
      <c r="D33" s="42" t="str">
        <f>IFERROR(VLOOKUP(C33,①商品マスタ!$A$4:$I$106,2,0),"")</f>
        <v/>
      </c>
      <c r="E33" s="26"/>
      <c r="F33" s="43" t="str">
        <f>IFERROR(VLOOKUP(C33,①商品マスタ!$A$4:$I$106,4,0),"")</f>
        <v/>
      </c>
      <c r="G33" s="43" t="str">
        <f t="shared" si="0"/>
        <v/>
      </c>
      <c r="H33" s="24"/>
      <c r="I33" s="42" t="str">
        <f>IFERROR(VLOOKUP(H33,②仕入先マスタ!$A$4:$G$55,2,0),"")</f>
        <v/>
      </c>
      <c r="J33" s="24"/>
    </row>
    <row r="34" spans="1:10" ht="19.5" customHeight="1">
      <c r="A34" s="28"/>
      <c r="B34" s="38"/>
      <c r="C34" s="28"/>
      <c r="D34" s="39" t="str">
        <f>IFERROR(VLOOKUP(C34,①商品マスタ!$A$4:$I$106,2,0),"")</f>
        <v/>
      </c>
      <c r="E34" s="30"/>
      <c r="F34" s="40" t="str">
        <f>IFERROR(VLOOKUP(C34,①商品マスタ!$A$4:$I$106,4,0),"")</f>
        <v/>
      </c>
      <c r="G34" s="40" t="str">
        <f t="shared" si="0"/>
        <v/>
      </c>
      <c r="H34" s="28"/>
      <c r="I34" s="39" t="str">
        <f>IFERROR(VLOOKUP(H34,②仕入先マスタ!$A$4:$G$55,2,0),"")</f>
        <v/>
      </c>
      <c r="J34" s="28"/>
    </row>
    <row r="35" spans="1:10" ht="19.5" customHeight="1">
      <c r="A35" s="24"/>
      <c r="B35" s="41"/>
      <c r="C35" s="24"/>
      <c r="D35" s="42" t="str">
        <f>IFERROR(VLOOKUP(C35,①商品マスタ!$A$4:$I$106,2,0),"")</f>
        <v/>
      </c>
      <c r="E35" s="26"/>
      <c r="F35" s="43" t="str">
        <f>IFERROR(VLOOKUP(C35,①商品マスタ!$A$4:$I$106,4,0),"")</f>
        <v/>
      </c>
      <c r="G35" s="43" t="str">
        <f t="shared" si="0"/>
        <v/>
      </c>
      <c r="H35" s="24"/>
      <c r="I35" s="42" t="str">
        <f>IFERROR(VLOOKUP(H35,②仕入先マスタ!$A$4:$G$55,2,0),"")</f>
        <v/>
      </c>
      <c r="J35" s="24"/>
    </row>
    <row r="36" spans="1:10" ht="19.5" customHeight="1">
      <c r="A36" s="28"/>
      <c r="B36" s="38"/>
      <c r="C36" s="28"/>
      <c r="D36" s="39" t="str">
        <f>IFERROR(VLOOKUP(C36,①商品マスタ!$A$4:$I$106,2,0),"")</f>
        <v/>
      </c>
      <c r="E36" s="30"/>
      <c r="F36" s="40" t="str">
        <f>IFERROR(VLOOKUP(C36,①商品マスタ!$A$4:$I$106,4,0),"")</f>
        <v/>
      </c>
      <c r="G36" s="40" t="str">
        <f t="shared" si="0"/>
        <v/>
      </c>
      <c r="H36" s="28"/>
      <c r="I36" s="39" t="str">
        <f>IFERROR(VLOOKUP(H36,②仕入先マスタ!$A$4:$G$55,2,0),"")</f>
        <v/>
      </c>
      <c r="J36" s="28"/>
    </row>
    <row r="37" spans="1:10" ht="19.5" customHeight="1">
      <c r="A37" s="24"/>
      <c r="B37" s="41"/>
      <c r="C37" s="24"/>
      <c r="D37" s="42" t="str">
        <f>IFERROR(VLOOKUP(C37,①商品マスタ!$A$4:$I$106,2,0),"")</f>
        <v/>
      </c>
      <c r="E37" s="26"/>
      <c r="F37" s="43" t="str">
        <f>IFERROR(VLOOKUP(C37,①商品マスタ!$A$4:$I$106,4,0),"")</f>
        <v/>
      </c>
      <c r="G37" s="43" t="str">
        <f t="shared" si="0"/>
        <v/>
      </c>
      <c r="H37" s="24"/>
      <c r="I37" s="42" t="str">
        <f>IFERROR(VLOOKUP(H37,②仕入先マスタ!$A$4:$G$55,2,0),"")</f>
        <v/>
      </c>
      <c r="J37" s="24"/>
    </row>
    <row r="38" spans="1:10" ht="19.5" customHeight="1">
      <c r="A38" s="28"/>
      <c r="B38" s="38"/>
      <c r="C38" s="28"/>
      <c r="D38" s="39" t="str">
        <f>IFERROR(VLOOKUP(C38,①商品マスタ!$A$4:$I$106,2,0),"")</f>
        <v/>
      </c>
      <c r="E38" s="30"/>
      <c r="F38" s="40" t="str">
        <f>IFERROR(VLOOKUP(C38,①商品マスタ!$A$4:$I$106,4,0),"")</f>
        <v/>
      </c>
      <c r="G38" s="40" t="str">
        <f t="shared" ref="G38:G69" si="1">IFERROR(IF(AND(E38&lt;&gt;"",F38&lt;&gt;""),E38*F38,""),"")</f>
        <v/>
      </c>
      <c r="H38" s="28"/>
      <c r="I38" s="39" t="str">
        <f>IFERROR(VLOOKUP(H38,②仕入先マスタ!$A$4:$G$55,2,0),"")</f>
        <v/>
      </c>
      <c r="J38" s="28"/>
    </row>
    <row r="39" spans="1:10" ht="19.5" customHeight="1">
      <c r="A39" s="24"/>
      <c r="B39" s="41"/>
      <c r="C39" s="24"/>
      <c r="D39" s="42" t="str">
        <f>IFERROR(VLOOKUP(C39,①商品マスタ!$A$4:$I$106,2,0),"")</f>
        <v/>
      </c>
      <c r="E39" s="26"/>
      <c r="F39" s="43" t="str">
        <f>IFERROR(VLOOKUP(C39,①商品マスタ!$A$4:$I$106,4,0),"")</f>
        <v/>
      </c>
      <c r="G39" s="43" t="str">
        <f t="shared" si="1"/>
        <v/>
      </c>
      <c r="H39" s="24"/>
      <c r="I39" s="42" t="str">
        <f>IFERROR(VLOOKUP(H39,②仕入先マスタ!$A$4:$G$55,2,0),"")</f>
        <v/>
      </c>
      <c r="J39" s="24"/>
    </row>
    <row r="40" spans="1:10" ht="19.5" customHeight="1">
      <c r="A40" s="28"/>
      <c r="B40" s="38"/>
      <c r="C40" s="28"/>
      <c r="D40" s="39" t="str">
        <f>IFERROR(VLOOKUP(C40,①商品マスタ!$A$4:$I$106,2,0),"")</f>
        <v/>
      </c>
      <c r="E40" s="30"/>
      <c r="F40" s="40" t="str">
        <f>IFERROR(VLOOKUP(C40,①商品マスタ!$A$4:$I$106,4,0),"")</f>
        <v/>
      </c>
      <c r="G40" s="40" t="str">
        <f t="shared" si="1"/>
        <v/>
      </c>
      <c r="H40" s="28"/>
      <c r="I40" s="39" t="str">
        <f>IFERROR(VLOOKUP(H40,②仕入先マスタ!$A$4:$G$55,2,0),"")</f>
        <v/>
      </c>
      <c r="J40" s="28"/>
    </row>
    <row r="41" spans="1:10" ht="19.5" customHeight="1">
      <c r="A41" s="24"/>
      <c r="B41" s="41"/>
      <c r="C41" s="24"/>
      <c r="D41" s="42" t="str">
        <f>IFERROR(VLOOKUP(C41,①商品マスタ!$A$4:$I$106,2,0),"")</f>
        <v/>
      </c>
      <c r="E41" s="26"/>
      <c r="F41" s="43" t="str">
        <f>IFERROR(VLOOKUP(C41,①商品マスタ!$A$4:$I$106,4,0),"")</f>
        <v/>
      </c>
      <c r="G41" s="43" t="str">
        <f t="shared" si="1"/>
        <v/>
      </c>
      <c r="H41" s="24"/>
      <c r="I41" s="42" t="str">
        <f>IFERROR(VLOOKUP(H41,②仕入先マスタ!$A$4:$G$55,2,0),"")</f>
        <v/>
      </c>
      <c r="J41" s="24"/>
    </row>
    <row r="42" spans="1:10" ht="19.5" customHeight="1">
      <c r="A42" s="28"/>
      <c r="B42" s="38"/>
      <c r="C42" s="28"/>
      <c r="D42" s="39" t="str">
        <f>IFERROR(VLOOKUP(C42,①商品マスタ!$A$4:$I$106,2,0),"")</f>
        <v/>
      </c>
      <c r="E42" s="30"/>
      <c r="F42" s="40" t="str">
        <f>IFERROR(VLOOKUP(C42,①商品マスタ!$A$4:$I$106,4,0),"")</f>
        <v/>
      </c>
      <c r="G42" s="40" t="str">
        <f t="shared" si="1"/>
        <v/>
      </c>
      <c r="H42" s="28"/>
      <c r="I42" s="39" t="str">
        <f>IFERROR(VLOOKUP(H42,②仕入先マスタ!$A$4:$G$55,2,0),"")</f>
        <v/>
      </c>
      <c r="J42" s="28"/>
    </row>
    <row r="43" spans="1:10" ht="19.5" customHeight="1">
      <c r="A43" s="24"/>
      <c r="B43" s="41"/>
      <c r="C43" s="24"/>
      <c r="D43" s="42" t="str">
        <f>IFERROR(VLOOKUP(C43,①商品マスタ!$A$4:$I$106,2,0),"")</f>
        <v/>
      </c>
      <c r="E43" s="26"/>
      <c r="F43" s="43" t="str">
        <f>IFERROR(VLOOKUP(C43,①商品マスタ!$A$4:$I$106,4,0),"")</f>
        <v/>
      </c>
      <c r="G43" s="43" t="str">
        <f t="shared" si="1"/>
        <v/>
      </c>
      <c r="H43" s="24"/>
      <c r="I43" s="42" t="str">
        <f>IFERROR(VLOOKUP(H43,②仕入先マスタ!$A$4:$G$55,2,0),"")</f>
        <v/>
      </c>
      <c r="J43" s="24"/>
    </row>
    <row r="44" spans="1:10" ht="19.5" customHeight="1">
      <c r="A44" s="28"/>
      <c r="B44" s="38"/>
      <c r="C44" s="28"/>
      <c r="D44" s="39" t="str">
        <f>IFERROR(VLOOKUP(C44,①商品マスタ!$A$4:$I$106,2,0),"")</f>
        <v/>
      </c>
      <c r="E44" s="30"/>
      <c r="F44" s="40" t="str">
        <f>IFERROR(VLOOKUP(C44,①商品マスタ!$A$4:$I$106,4,0),"")</f>
        <v/>
      </c>
      <c r="G44" s="40" t="str">
        <f t="shared" si="1"/>
        <v/>
      </c>
      <c r="H44" s="28"/>
      <c r="I44" s="39" t="str">
        <f>IFERROR(VLOOKUP(H44,②仕入先マスタ!$A$4:$G$55,2,0),"")</f>
        <v/>
      </c>
      <c r="J44" s="28"/>
    </row>
    <row r="45" spans="1:10" ht="19.5" customHeight="1">
      <c r="A45" s="24"/>
      <c r="B45" s="41"/>
      <c r="C45" s="24"/>
      <c r="D45" s="42" t="str">
        <f>IFERROR(VLOOKUP(C45,①商品マスタ!$A$4:$I$106,2,0),"")</f>
        <v/>
      </c>
      <c r="E45" s="26"/>
      <c r="F45" s="43" t="str">
        <f>IFERROR(VLOOKUP(C45,①商品マスタ!$A$4:$I$106,4,0),"")</f>
        <v/>
      </c>
      <c r="G45" s="43" t="str">
        <f t="shared" si="1"/>
        <v/>
      </c>
      <c r="H45" s="24"/>
      <c r="I45" s="42" t="str">
        <f>IFERROR(VLOOKUP(H45,②仕入先マスタ!$A$4:$G$55,2,0),"")</f>
        <v/>
      </c>
      <c r="J45" s="24"/>
    </row>
    <row r="46" spans="1:10" ht="19.5" customHeight="1">
      <c r="A46" s="28"/>
      <c r="B46" s="38"/>
      <c r="C46" s="28"/>
      <c r="D46" s="39" t="str">
        <f>IFERROR(VLOOKUP(C46,①商品マスタ!$A$4:$I$106,2,0),"")</f>
        <v/>
      </c>
      <c r="E46" s="30"/>
      <c r="F46" s="40" t="str">
        <f>IFERROR(VLOOKUP(C46,①商品マスタ!$A$4:$I$106,4,0),"")</f>
        <v/>
      </c>
      <c r="G46" s="40" t="str">
        <f t="shared" si="1"/>
        <v/>
      </c>
      <c r="H46" s="28"/>
      <c r="I46" s="39" t="str">
        <f>IFERROR(VLOOKUP(H46,②仕入先マスタ!$A$4:$G$55,2,0),"")</f>
        <v/>
      </c>
      <c r="J46" s="28"/>
    </row>
    <row r="47" spans="1:10" ht="19.5" customHeight="1">
      <c r="A47" s="24"/>
      <c r="B47" s="41"/>
      <c r="C47" s="24"/>
      <c r="D47" s="42" t="str">
        <f>IFERROR(VLOOKUP(C47,①商品マスタ!$A$4:$I$106,2,0),"")</f>
        <v/>
      </c>
      <c r="E47" s="26"/>
      <c r="F47" s="43" t="str">
        <f>IFERROR(VLOOKUP(C47,①商品マスタ!$A$4:$I$106,4,0),"")</f>
        <v/>
      </c>
      <c r="G47" s="43" t="str">
        <f t="shared" si="1"/>
        <v/>
      </c>
      <c r="H47" s="24"/>
      <c r="I47" s="42" t="str">
        <f>IFERROR(VLOOKUP(H47,②仕入先マスタ!$A$4:$G$55,2,0),"")</f>
        <v/>
      </c>
      <c r="J47" s="24"/>
    </row>
    <row r="48" spans="1:10" ht="19.5" customHeight="1">
      <c r="A48" s="28"/>
      <c r="B48" s="38"/>
      <c r="C48" s="28"/>
      <c r="D48" s="39" t="str">
        <f>IFERROR(VLOOKUP(C48,①商品マスタ!$A$4:$I$106,2,0),"")</f>
        <v/>
      </c>
      <c r="E48" s="30"/>
      <c r="F48" s="40" t="str">
        <f>IFERROR(VLOOKUP(C48,①商品マスタ!$A$4:$I$106,4,0),"")</f>
        <v/>
      </c>
      <c r="G48" s="40" t="str">
        <f t="shared" si="1"/>
        <v/>
      </c>
      <c r="H48" s="28"/>
      <c r="I48" s="39" t="str">
        <f>IFERROR(VLOOKUP(H48,②仕入先マスタ!$A$4:$G$55,2,0),"")</f>
        <v/>
      </c>
      <c r="J48" s="28"/>
    </row>
    <row r="49" spans="1:10" ht="19.5" customHeight="1">
      <c r="A49" s="24"/>
      <c r="B49" s="41"/>
      <c r="C49" s="24"/>
      <c r="D49" s="42" t="str">
        <f>IFERROR(VLOOKUP(C49,①商品マスタ!$A$4:$I$106,2,0),"")</f>
        <v/>
      </c>
      <c r="E49" s="26"/>
      <c r="F49" s="43" t="str">
        <f>IFERROR(VLOOKUP(C49,①商品マスタ!$A$4:$I$106,4,0),"")</f>
        <v/>
      </c>
      <c r="G49" s="43" t="str">
        <f t="shared" si="1"/>
        <v/>
      </c>
      <c r="H49" s="24"/>
      <c r="I49" s="42" t="str">
        <f>IFERROR(VLOOKUP(H49,②仕入先マスタ!$A$4:$G$55,2,0),"")</f>
        <v/>
      </c>
      <c r="J49" s="24"/>
    </row>
    <row r="50" spans="1:10" ht="19.5" customHeight="1">
      <c r="A50" s="28"/>
      <c r="B50" s="38"/>
      <c r="C50" s="28"/>
      <c r="D50" s="39" t="str">
        <f>IFERROR(VLOOKUP(C50,①商品マスタ!$A$4:$I$106,2,0),"")</f>
        <v/>
      </c>
      <c r="E50" s="30"/>
      <c r="F50" s="40" t="str">
        <f>IFERROR(VLOOKUP(C50,①商品マスタ!$A$4:$I$106,4,0),"")</f>
        <v/>
      </c>
      <c r="G50" s="40" t="str">
        <f t="shared" si="1"/>
        <v/>
      </c>
      <c r="H50" s="28"/>
      <c r="I50" s="39" t="str">
        <f>IFERROR(VLOOKUP(H50,②仕入先マスタ!$A$4:$G$55,2,0),"")</f>
        <v/>
      </c>
      <c r="J50" s="28"/>
    </row>
    <row r="51" spans="1:10" ht="19.5" customHeight="1">
      <c r="A51" s="24"/>
      <c r="B51" s="41"/>
      <c r="C51" s="24"/>
      <c r="D51" s="42" t="str">
        <f>IFERROR(VLOOKUP(C51,①商品マスタ!$A$4:$I$106,2,0),"")</f>
        <v/>
      </c>
      <c r="E51" s="26"/>
      <c r="F51" s="43" t="str">
        <f>IFERROR(VLOOKUP(C51,①商品マスタ!$A$4:$I$106,4,0),"")</f>
        <v/>
      </c>
      <c r="G51" s="43" t="str">
        <f t="shared" si="1"/>
        <v/>
      </c>
      <c r="H51" s="24"/>
      <c r="I51" s="42" t="str">
        <f>IFERROR(VLOOKUP(H51,②仕入先マスタ!$A$4:$G$55,2,0),"")</f>
        <v/>
      </c>
      <c r="J51" s="24"/>
    </row>
    <row r="52" spans="1:10" ht="19.5" customHeight="1">
      <c r="A52" s="28"/>
      <c r="B52" s="38"/>
      <c r="C52" s="28"/>
      <c r="D52" s="39" t="str">
        <f>IFERROR(VLOOKUP(C52,①商品マスタ!$A$4:$I$106,2,0),"")</f>
        <v/>
      </c>
      <c r="E52" s="30"/>
      <c r="F52" s="40" t="str">
        <f>IFERROR(VLOOKUP(C52,①商品マスタ!$A$4:$I$106,4,0),"")</f>
        <v/>
      </c>
      <c r="G52" s="40" t="str">
        <f t="shared" si="1"/>
        <v/>
      </c>
      <c r="H52" s="28"/>
      <c r="I52" s="39" t="str">
        <f>IFERROR(VLOOKUP(H52,②仕入先マスタ!$A$4:$G$55,2,0),"")</f>
        <v/>
      </c>
      <c r="J52" s="28"/>
    </row>
    <row r="53" spans="1:10" ht="19.5" customHeight="1">
      <c r="A53" s="24"/>
      <c r="B53" s="41"/>
      <c r="C53" s="24"/>
      <c r="D53" s="42" t="str">
        <f>IFERROR(VLOOKUP(C53,①商品マスタ!$A$4:$I$106,2,0),"")</f>
        <v/>
      </c>
      <c r="E53" s="26"/>
      <c r="F53" s="43" t="str">
        <f>IFERROR(VLOOKUP(C53,①商品マスタ!$A$4:$I$106,4,0),"")</f>
        <v/>
      </c>
      <c r="G53" s="43" t="str">
        <f t="shared" si="1"/>
        <v/>
      </c>
      <c r="H53" s="24"/>
      <c r="I53" s="42" t="str">
        <f>IFERROR(VLOOKUP(H53,②仕入先マスタ!$A$4:$G$55,2,0),"")</f>
        <v/>
      </c>
      <c r="J53" s="24"/>
    </row>
    <row r="54" spans="1:10" ht="19.5" customHeight="1">
      <c r="A54" s="28"/>
      <c r="B54" s="38"/>
      <c r="C54" s="28"/>
      <c r="D54" s="39" t="str">
        <f>IFERROR(VLOOKUP(C54,①商品マスタ!$A$4:$I$106,2,0),"")</f>
        <v/>
      </c>
      <c r="E54" s="30"/>
      <c r="F54" s="40" t="str">
        <f>IFERROR(VLOOKUP(C54,①商品マスタ!$A$4:$I$106,4,0),"")</f>
        <v/>
      </c>
      <c r="G54" s="40" t="str">
        <f t="shared" si="1"/>
        <v/>
      </c>
      <c r="H54" s="28"/>
      <c r="I54" s="39" t="str">
        <f>IFERROR(VLOOKUP(H54,②仕入先マスタ!$A$4:$G$55,2,0),"")</f>
        <v/>
      </c>
      <c r="J54" s="28"/>
    </row>
    <row r="55" spans="1:10" ht="19.5" customHeight="1">
      <c r="A55" s="24"/>
      <c r="B55" s="41"/>
      <c r="C55" s="24"/>
      <c r="D55" s="42" t="str">
        <f>IFERROR(VLOOKUP(C55,①商品マスタ!$A$4:$I$106,2,0),"")</f>
        <v/>
      </c>
      <c r="E55" s="26"/>
      <c r="F55" s="43" t="str">
        <f>IFERROR(VLOOKUP(C55,①商品マスタ!$A$4:$I$106,4,0),"")</f>
        <v/>
      </c>
      <c r="G55" s="43" t="str">
        <f t="shared" si="1"/>
        <v/>
      </c>
      <c r="H55" s="24"/>
      <c r="I55" s="42" t="str">
        <f>IFERROR(VLOOKUP(H55,②仕入先マスタ!$A$4:$G$55,2,0),"")</f>
        <v/>
      </c>
      <c r="J55" s="24"/>
    </row>
    <row r="56" spans="1:10" ht="19.5" customHeight="1">
      <c r="A56" s="28"/>
      <c r="B56" s="38"/>
      <c r="C56" s="28"/>
      <c r="D56" s="39" t="str">
        <f>IFERROR(VLOOKUP(C56,①商品マスタ!$A$4:$I$106,2,0),"")</f>
        <v/>
      </c>
      <c r="E56" s="30"/>
      <c r="F56" s="40" t="str">
        <f>IFERROR(VLOOKUP(C56,①商品マスタ!$A$4:$I$106,4,0),"")</f>
        <v/>
      </c>
      <c r="G56" s="40" t="str">
        <f t="shared" si="1"/>
        <v/>
      </c>
      <c r="H56" s="28"/>
      <c r="I56" s="39" t="str">
        <f>IFERROR(VLOOKUP(H56,②仕入先マスタ!$A$4:$G$55,2,0),"")</f>
        <v/>
      </c>
      <c r="J56" s="28"/>
    </row>
    <row r="57" spans="1:10" ht="19.5" customHeight="1">
      <c r="A57" s="24"/>
      <c r="B57" s="41"/>
      <c r="C57" s="24"/>
      <c r="D57" s="42" t="str">
        <f>IFERROR(VLOOKUP(C57,①商品マスタ!$A$4:$I$106,2,0),"")</f>
        <v/>
      </c>
      <c r="E57" s="26"/>
      <c r="F57" s="43" t="str">
        <f>IFERROR(VLOOKUP(C57,①商品マスタ!$A$4:$I$106,4,0),"")</f>
        <v/>
      </c>
      <c r="G57" s="43" t="str">
        <f t="shared" si="1"/>
        <v/>
      </c>
      <c r="H57" s="24"/>
      <c r="I57" s="42" t="str">
        <f>IFERROR(VLOOKUP(H57,②仕入先マスタ!$A$4:$G$55,2,0),"")</f>
        <v/>
      </c>
      <c r="J57" s="24"/>
    </row>
    <row r="58" spans="1:10" ht="19.5" customHeight="1">
      <c r="A58" s="28"/>
      <c r="B58" s="38"/>
      <c r="C58" s="28"/>
      <c r="D58" s="39" t="str">
        <f>IFERROR(VLOOKUP(C58,①商品マスタ!$A$4:$I$106,2,0),"")</f>
        <v/>
      </c>
      <c r="E58" s="30"/>
      <c r="F58" s="40" t="str">
        <f>IFERROR(VLOOKUP(C58,①商品マスタ!$A$4:$I$106,4,0),"")</f>
        <v/>
      </c>
      <c r="G58" s="40" t="str">
        <f t="shared" si="1"/>
        <v/>
      </c>
      <c r="H58" s="28"/>
      <c r="I58" s="39" t="str">
        <f>IFERROR(VLOOKUP(H58,②仕入先マスタ!$A$4:$G$55,2,0),"")</f>
        <v/>
      </c>
      <c r="J58" s="28"/>
    </row>
    <row r="59" spans="1:10" ht="19.5" customHeight="1">
      <c r="A59" s="24"/>
      <c r="B59" s="41"/>
      <c r="C59" s="24"/>
      <c r="D59" s="42" t="str">
        <f>IFERROR(VLOOKUP(C59,①商品マスタ!$A$4:$I$106,2,0),"")</f>
        <v/>
      </c>
      <c r="E59" s="26"/>
      <c r="F59" s="43" t="str">
        <f>IFERROR(VLOOKUP(C59,①商品マスタ!$A$4:$I$106,4,0),"")</f>
        <v/>
      </c>
      <c r="G59" s="43" t="str">
        <f t="shared" si="1"/>
        <v/>
      </c>
      <c r="H59" s="24"/>
      <c r="I59" s="42" t="str">
        <f>IFERROR(VLOOKUP(H59,②仕入先マスタ!$A$4:$G$55,2,0),"")</f>
        <v/>
      </c>
      <c r="J59" s="24"/>
    </row>
    <row r="60" spans="1:10" ht="19.5" customHeight="1">
      <c r="A60" s="28"/>
      <c r="B60" s="38"/>
      <c r="C60" s="28"/>
      <c r="D60" s="39" t="str">
        <f>IFERROR(VLOOKUP(C60,①商品マスタ!$A$4:$I$106,2,0),"")</f>
        <v/>
      </c>
      <c r="E60" s="30"/>
      <c r="F60" s="40" t="str">
        <f>IFERROR(VLOOKUP(C60,①商品マスタ!$A$4:$I$106,4,0),"")</f>
        <v/>
      </c>
      <c r="G60" s="40" t="str">
        <f t="shared" si="1"/>
        <v/>
      </c>
      <c r="H60" s="28"/>
      <c r="I60" s="39" t="str">
        <f>IFERROR(VLOOKUP(H60,②仕入先マスタ!$A$4:$G$55,2,0),"")</f>
        <v/>
      </c>
      <c r="J60" s="28"/>
    </row>
    <row r="61" spans="1:10" ht="19.5" customHeight="1">
      <c r="A61" s="24"/>
      <c r="B61" s="41"/>
      <c r="C61" s="24"/>
      <c r="D61" s="42" t="str">
        <f>IFERROR(VLOOKUP(C61,①商品マスタ!$A$4:$I$106,2,0),"")</f>
        <v/>
      </c>
      <c r="E61" s="26"/>
      <c r="F61" s="43" t="str">
        <f>IFERROR(VLOOKUP(C61,①商品マスタ!$A$4:$I$106,4,0),"")</f>
        <v/>
      </c>
      <c r="G61" s="43" t="str">
        <f t="shared" si="1"/>
        <v/>
      </c>
      <c r="H61" s="24"/>
      <c r="I61" s="42" t="str">
        <f>IFERROR(VLOOKUP(H61,②仕入先マスタ!$A$4:$G$55,2,0),"")</f>
        <v/>
      </c>
      <c r="J61" s="24"/>
    </row>
    <row r="62" spans="1:10" ht="19.5" customHeight="1">
      <c r="A62" s="28"/>
      <c r="B62" s="38"/>
      <c r="C62" s="28"/>
      <c r="D62" s="39" t="str">
        <f>IFERROR(VLOOKUP(C62,①商品マスタ!$A$4:$I$106,2,0),"")</f>
        <v/>
      </c>
      <c r="E62" s="30"/>
      <c r="F62" s="40" t="str">
        <f>IFERROR(VLOOKUP(C62,①商品マスタ!$A$4:$I$106,4,0),"")</f>
        <v/>
      </c>
      <c r="G62" s="40" t="str">
        <f t="shared" si="1"/>
        <v/>
      </c>
      <c r="H62" s="28"/>
      <c r="I62" s="39" t="str">
        <f>IFERROR(VLOOKUP(H62,②仕入先マスタ!$A$4:$G$55,2,0),"")</f>
        <v/>
      </c>
      <c r="J62" s="28"/>
    </row>
    <row r="63" spans="1:10" ht="19.5" customHeight="1">
      <c r="A63" s="24"/>
      <c r="B63" s="41"/>
      <c r="C63" s="24"/>
      <c r="D63" s="42" t="str">
        <f>IFERROR(VLOOKUP(C63,①商品マスタ!$A$4:$I$106,2,0),"")</f>
        <v/>
      </c>
      <c r="E63" s="26"/>
      <c r="F63" s="43" t="str">
        <f>IFERROR(VLOOKUP(C63,①商品マスタ!$A$4:$I$106,4,0),"")</f>
        <v/>
      </c>
      <c r="G63" s="43" t="str">
        <f t="shared" si="1"/>
        <v/>
      </c>
      <c r="H63" s="24"/>
      <c r="I63" s="42" t="str">
        <f>IFERROR(VLOOKUP(H63,②仕入先マスタ!$A$4:$G$55,2,0),"")</f>
        <v/>
      </c>
      <c r="J63" s="24"/>
    </row>
    <row r="64" spans="1:10" ht="19.5" customHeight="1">
      <c r="A64" s="28"/>
      <c r="B64" s="38"/>
      <c r="C64" s="28"/>
      <c r="D64" s="39" t="str">
        <f>IFERROR(VLOOKUP(C64,①商品マスタ!$A$4:$I$106,2,0),"")</f>
        <v/>
      </c>
      <c r="E64" s="30"/>
      <c r="F64" s="40" t="str">
        <f>IFERROR(VLOOKUP(C64,①商品マスタ!$A$4:$I$106,4,0),"")</f>
        <v/>
      </c>
      <c r="G64" s="40" t="str">
        <f t="shared" si="1"/>
        <v/>
      </c>
      <c r="H64" s="28"/>
      <c r="I64" s="39" t="str">
        <f>IFERROR(VLOOKUP(H64,②仕入先マスタ!$A$4:$G$55,2,0),"")</f>
        <v/>
      </c>
      <c r="J64" s="28"/>
    </row>
    <row r="65" spans="1:10" ht="19.5" customHeight="1">
      <c r="A65" s="24"/>
      <c r="B65" s="41"/>
      <c r="C65" s="24"/>
      <c r="D65" s="42" t="str">
        <f>IFERROR(VLOOKUP(C65,①商品マスタ!$A$4:$I$106,2,0),"")</f>
        <v/>
      </c>
      <c r="E65" s="26"/>
      <c r="F65" s="43" t="str">
        <f>IFERROR(VLOOKUP(C65,①商品マスタ!$A$4:$I$106,4,0),"")</f>
        <v/>
      </c>
      <c r="G65" s="43" t="str">
        <f t="shared" si="1"/>
        <v/>
      </c>
      <c r="H65" s="24"/>
      <c r="I65" s="42" t="str">
        <f>IFERROR(VLOOKUP(H65,②仕入先マスタ!$A$4:$G$55,2,0),"")</f>
        <v/>
      </c>
      <c r="J65" s="24"/>
    </row>
    <row r="66" spans="1:10" ht="19.5" customHeight="1">
      <c r="A66" s="28"/>
      <c r="B66" s="38"/>
      <c r="C66" s="28"/>
      <c r="D66" s="39" t="str">
        <f>IFERROR(VLOOKUP(C66,①商品マスタ!$A$4:$I$106,2,0),"")</f>
        <v/>
      </c>
      <c r="E66" s="30"/>
      <c r="F66" s="40" t="str">
        <f>IFERROR(VLOOKUP(C66,①商品マスタ!$A$4:$I$106,4,0),"")</f>
        <v/>
      </c>
      <c r="G66" s="40" t="str">
        <f t="shared" si="1"/>
        <v/>
      </c>
      <c r="H66" s="28"/>
      <c r="I66" s="39" t="str">
        <f>IFERROR(VLOOKUP(H66,②仕入先マスタ!$A$4:$G$55,2,0),"")</f>
        <v/>
      </c>
      <c r="J66" s="28"/>
    </row>
    <row r="67" spans="1:10" ht="19.5" customHeight="1">
      <c r="A67" s="24"/>
      <c r="B67" s="41"/>
      <c r="C67" s="24"/>
      <c r="D67" s="42" t="str">
        <f>IFERROR(VLOOKUP(C67,①商品マスタ!$A$4:$I$106,2,0),"")</f>
        <v/>
      </c>
      <c r="E67" s="26"/>
      <c r="F67" s="43" t="str">
        <f>IFERROR(VLOOKUP(C67,①商品マスタ!$A$4:$I$106,4,0),"")</f>
        <v/>
      </c>
      <c r="G67" s="43" t="str">
        <f t="shared" si="1"/>
        <v/>
      </c>
      <c r="H67" s="24"/>
      <c r="I67" s="42" t="str">
        <f>IFERROR(VLOOKUP(H67,②仕入先マスタ!$A$4:$G$55,2,0),"")</f>
        <v/>
      </c>
      <c r="J67" s="24"/>
    </row>
    <row r="68" spans="1:10" ht="19.5" customHeight="1">
      <c r="A68" s="28"/>
      <c r="B68" s="38"/>
      <c r="C68" s="28"/>
      <c r="D68" s="39" t="str">
        <f>IFERROR(VLOOKUP(C68,①商品マスタ!$A$4:$I$106,2,0),"")</f>
        <v/>
      </c>
      <c r="E68" s="30"/>
      <c r="F68" s="40" t="str">
        <f>IFERROR(VLOOKUP(C68,①商品マスタ!$A$4:$I$106,4,0),"")</f>
        <v/>
      </c>
      <c r="G68" s="40" t="str">
        <f t="shared" si="1"/>
        <v/>
      </c>
      <c r="H68" s="28"/>
      <c r="I68" s="39" t="str">
        <f>IFERROR(VLOOKUP(H68,②仕入先マスタ!$A$4:$G$55,2,0),"")</f>
        <v/>
      </c>
      <c r="J68" s="28"/>
    </row>
    <row r="69" spans="1:10" ht="19.5" customHeight="1">
      <c r="A69" s="24"/>
      <c r="B69" s="41"/>
      <c r="C69" s="24"/>
      <c r="D69" s="42" t="str">
        <f>IFERROR(VLOOKUP(C69,①商品マスタ!$A$4:$I$106,2,0),"")</f>
        <v/>
      </c>
      <c r="E69" s="26"/>
      <c r="F69" s="43" t="str">
        <f>IFERROR(VLOOKUP(C69,①商品マスタ!$A$4:$I$106,4,0),"")</f>
        <v/>
      </c>
      <c r="G69" s="43" t="str">
        <f t="shared" si="1"/>
        <v/>
      </c>
      <c r="H69" s="24"/>
      <c r="I69" s="42" t="str">
        <f>IFERROR(VLOOKUP(H69,②仕入先マスタ!$A$4:$G$55,2,0),"")</f>
        <v/>
      </c>
      <c r="J69" s="24"/>
    </row>
    <row r="70" spans="1:10" ht="19.5" customHeight="1">
      <c r="A70" s="28"/>
      <c r="B70" s="38"/>
      <c r="C70" s="28"/>
      <c r="D70" s="39" t="str">
        <f>IFERROR(VLOOKUP(C70,①商品マスタ!$A$4:$I$106,2,0),"")</f>
        <v/>
      </c>
      <c r="E70" s="30"/>
      <c r="F70" s="40" t="str">
        <f>IFERROR(VLOOKUP(C70,①商品マスタ!$A$4:$I$106,4,0),"")</f>
        <v/>
      </c>
      <c r="G70" s="40" t="str">
        <f t="shared" ref="G70:G101" si="2">IFERROR(IF(AND(E70&lt;&gt;"",F70&lt;&gt;""),E70*F70,""),"")</f>
        <v/>
      </c>
      <c r="H70" s="28"/>
      <c r="I70" s="39" t="str">
        <f>IFERROR(VLOOKUP(H70,②仕入先マスタ!$A$4:$G$55,2,0),"")</f>
        <v/>
      </c>
      <c r="J70" s="28"/>
    </row>
    <row r="71" spans="1:10" ht="19.5" customHeight="1">
      <c r="A71" s="24"/>
      <c r="B71" s="41"/>
      <c r="C71" s="24"/>
      <c r="D71" s="42" t="str">
        <f>IFERROR(VLOOKUP(C71,①商品マスタ!$A$4:$I$106,2,0),"")</f>
        <v/>
      </c>
      <c r="E71" s="26"/>
      <c r="F71" s="43" t="str">
        <f>IFERROR(VLOOKUP(C71,①商品マスタ!$A$4:$I$106,4,0),"")</f>
        <v/>
      </c>
      <c r="G71" s="43" t="str">
        <f t="shared" si="2"/>
        <v/>
      </c>
      <c r="H71" s="24"/>
      <c r="I71" s="42" t="str">
        <f>IFERROR(VLOOKUP(H71,②仕入先マスタ!$A$4:$G$55,2,0),"")</f>
        <v/>
      </c>
      <c r="J71" s="24"/>
    </row>
    <row r="72" spans="1:10" ht="19.5" customHeight="1">
      <c r="A72" s="28"/>
      <c r="B72" s="38"/>
      <c r="C72" s="28"/>
      <c r="D72" s="39" t="str">
        <f>IFERROR(VLOOKUP(C72,①商品マスタ!$A$4:$I$106,2,0),"")</f>
        <v/>
      </c>
      <c r="E72" s="30"/>
      <c r="F72" s="40" t="str">
        <f>IFERROR(VLOOKUP(C72,①商品マスタ!$A$4:$I$106,4,0),"")</f>
        <v/>
      </c>
      <c r="G72" s="40" t="str">
        <f t="shared" si="2"/>
        <v/>
      </c>
      <c r="H72" s="28"/>
      <c r="I72" s="39" t="str">
        <f>IFERROR(VLOOKUP(H72,②仕入先マスタ!$A$4:$G$55,2,0),"")</f>
        <v/>
      </c>
      <c r="J72" s="28"/>
    </row>
    <row r="73" spans="1:10" ht="19.5" customHeight="1">
      <c r="A73" s="24"/>
      <c r="B73" s="41"/>
      <c r="C73" s="24"/>
      <c r="D73" s="42" t="str">
        <f>IFERROR(VLOOKUP(C73,①商品マスタ!$A$4:$I$106,2,0),"")</f>
        <v/>
      </c>
      <c r="E73" s="26"/>
      <c r="F73" s="43" t="str">
        <f>IFERROR(VLOOKUP(C73,①商品マスタ!$A$4:$I$106,4,0),"")</f>
        <v/>
      </c>
      <c r="G73" s="43" t="str">
        <f t="shared" si="2"/>
        <v/>
      </c>
      <c r="H73" s="24"/>
      <c r="I73" s="42" t="str">
        <f>IFERROR(VLOOKUP(H73,②仕入先マスタ!$A$4:$G$55,2,0),"")</f>
        <v/>
      </c>
      <c r="J73" s="24"/>
    </row>
    <row r="74" spans="1:10" ht="19.5" customHeight="1">
      <c r="A74" s="28"/>
      <c r="B74" s="38"/>
      <c r="C74" s="28"/>
      <c r="D74" s="39" t="str">
        <f>IFERROR(VLOOKUP(C74,①商品マスタ!$A$4:$I$106,2,0),"")</f>
        <v/>
      </c>
      <c r="E74" s="30"/>
      <c r="F74" s="40" t="str">
        <f>IFERROR(VLOOKUP(C74,①商品マスタ!$A$4:$I$106,4,0),"")</f>
        <v/>
      </c>
      <c r="G74" s="40" t="str">
        <f t="shared" si="2"/>
        <v/>
      </c>
      <c r="H74" s="28"/>
      <c r="I74" s="39" t="str">
        <f>IFERROR(VLOOKUP(H74,②仕入先マスタ!$A$4:$G$55,2,0),"")</f>
        <v/>
      </c>
      <c r="J74" s="28"/>
    </row>
    <row r="75" spans="1:10" ht="19.5" customHeight="1">
      <c r="A75" s="24"/>
      <c r="B75" s="41"/>
      <c r="C75" s="24"/>
      <c r="D75" s="42" t="str">
        <f>IFERROR(VLOOKUP(C75,①商品マスタ!$A$4:$I$106,2,0),"")</f>
        <v/>
      </c>
      <c r="E75" s="26"/>
      <c r="F75" s="43" t="str">
        <f>IFERROR(VLOOKUP(C75,①商品マスタ!$A$4:$I$106,4,0),"")</f>
        <v/>
      </c>
      <c r="G75" s="43" t="str">
        <f t="shared" si="2"/>
        <v/>
      </c>
      <c r="H75" s="24"/>
      <c r="I75" s="42" t="str">
        <f>IFERROR(VLOOKUP(H75,②仕入先マスタ!$A$4:$G$55,2,0),"")</f>
        <v/>
      </c>
      <c r="J75" s="24"/>
    </row>
    <row r="76" spans="1:10" ht="19.5" customHeight="1">
      <c r="A76" s="28"/>
      <c r="B76" s="38"/>
      <c r="C76" s="28"/>
      <c r="D76" s="39" t="str">
        <f>IFERROR(VLOOKUP(C76,①商品マスタ!$A$4:$I$106,2,0),"")</f>
        <v/>
      </c>
      <c r="E76" s="30"/>
      <c r="F76" s="40" t="str">
        <f>IFERROR(VLOOKUP(C76,①商品マスタ!$A$4:$I$106,4,0),"")</f>
        <v/>
      </c>
      <c r="G76" s="40" t="str">
        <f t="shared" si="2"/>
        <v/>
      </c>
      <c r="H76" s="28"/>
      <c r="I76" s="39" t="str">
        <f>IFERROR(VLOOKUP(H76,②仕入先マスタ!$A$4:$G$55,2,0),"")</f>
        <v/>
      </c>
      <c r="J76" s="28"/>
    </row>
    <row r="77" spans="1:10" ht="19.5" customHeight="1">
      <c r="A77" s="24"/>
      <c r="B77" s="41"/>
      <c r="C77" s="24"/>
      <c r="D77" s="42" t="str">
        <f>IFERROR(VLOOKUP(C77,①商品マスタ!$A$4:$I$106,2,0),"")</f>
        <v/>
      </c>
      <c r="E77" s="26"/>
      <c r="F77" s="43" t="str">
        <f>IFERROR(VLOOKUP(C77,①商品マスタ!$A$4:$I$106,4,0),"")</f>
        <v/>
      </c>
      <c r="G77" s="43" t="str">
        <f t="shared" si="2"/>
        <v/>
      </c>
      <c r="H77" s="24"/>
      <c r="I77" s="42" t="str">
        <f>IFERROR(VLOOKUP(H77,②仕入先マスタ!$A$4:$G$55,2,0),"")</f>
        <v/>
      </c>
      <c r="J77" s="24"/>
    </row>
    <row r="78" spans="1:10" ht="19.5" customHeight="1">
      <c r="A78" s="28"/>
      <c r="B78" s="38"/>
      <c r="C78" s="28"/>
      <c r="D78" s="39" t="str">
        <f>IFERROR(VLOOKUP(C78,①商品マスタ!$A$4:$I$106,2,0),"")</f>
        <v/>
      </c>
      <c r="E78" s="30"/>
      <c r="F78" s="40" t="str">
        <f>IFERROR(VLOOKUP(C78,①商品マスタ!$A$4:$I$106,4,0),"")</f>
        <v/>
      </c>
      <c r="G78" s="40" t="str">
        <f t="shared" si="2"/>
        <v/>
      </c>
      <c r="H78" s="28"/>
      <c r="I78" s="39" t="str">
        <f>IFERROR(VLOOKUP(H78,②仕入先マスタ!$A$4:$G$55,2,0),"")</f>
        <v/>
      </c>
      <c r="J78" s="28"/>
    </row>
    <row r="79" spans="1:10" ht="19.5" customHeight="1">
      <c r="A79" s="24"/>
      <c r="B79" s="41"/>
      <c r="C79" s="24"/>
      <c r="D79" s="42" t="str">
        <f>IFERROR(VLOOKUP(C79,①商品マスタ!$A$4:$I$106,2,0),"")</f>
        <v/>
      </c>
      <c r="E79" s="26"/>
      <c r="F79" s="43" t="str">
        <f>IFERROR(VLOOKUP(C79,①商品マスタ!$A$4:$I$106,4,0),"")</f>
        <v/>
      </c>
      <c r="G79" s="43" t="str">
        <f t="shared" si="2"/>
        <v/>
      </c>
      <c r="H79" s="24"/>
      <c r="I79" s="42" t="str">
        <f>IFERROR(VLOOKUP(H79,②仕入先マスタ!$A$4:$G$55,2,0),"")</f>
        <v/>
      </c>
      <c r="J79" s="24"/>
    </row>
    <row r="80" spans="1:10" ht="19.5" customHeight="1">
      <c r="A80" s="28"/>
      <c r="B80" s="38"/>
      <c r="C80" s="28"/>
      <c r="D80" s="39" t="str">
        <f>IFERROR(VLOOKUP(C80,①商品マスタ!$A$4:$I$106,2,0),"")</f>
        <v/>
      </c>
      <c r="E80" s="30"/>
      <c r="F80" s="40" t="str">
        <f>IFERROR(VLOOKUP(C80,①商品マスタ!$A$4:$I$106,4,0),"")</f>
        <v/>
      </c>
      <c r="G80" s="40" t="str">
        <f t="shared" si="2"/>
        <v/>
      </c>
      <c r="H80" s="28"/>
      <c r="I80" s="39" t="str">
        <f>IFERROR(VLOOKUP(H80,②仕入先マスタ!$A$4:$G$55,2,0),"")</f>
        <v/>
      </c>
      <c r="J80" s="28"/>
    </row>
    <row r="81" spans="1:10" ht="19.5" customHeight="1">
      <c r="A81" s="24"/>
      <c r="B81" s="41"/>
      <c r="C81" s="24"/>
      <c r="D81" s="42" t="str">
        <f>IFERROR(VLOOKUP(C81,①商品マスタ!$A$4:$I$106,2,0),"")</f>
        <v/>
      </c>
      <c r="E81" s="26"/>
      <c r="F81" s="43" t="str">
        <f>IFERROR(VLOOKUP(C81,①商品マスタ!$A$4:$I$106,4,0),"")</f>
        <v/>
      </c>
      <c r="G81" s="43" t="str">
        <f t="shared" si="2"/>
        <v/>
      </c>
      <c r="H81" s="24"/>
      <c r="I81" s="42" t="str">
        <f>IFERROR(VLOOKUP(H81,②仕入先マスタ!$A$4:$G$55,2,0),"")</f>
        <v/>
      </c>
      <c r="J81" s="24"/>
    </row>
    <row r="82" spans="1:10" ht="19.5" customHeight="1">
      <c r="A82" s="28"/>
      <c r="B82" s="38"/>
      <c r="C82" s="28"/>
      <c r="D82" s="39" t="str">
        <f>IFERROR(VLOOKUP(C82,①商品マスタ!$A$4:$I$106,2,0),"")</f>
        <v/>
      </c>
      <c r="E82" s="30"/>
      <c r="F82" s="40" t="str">
        <f>IFERROR(VLOOKUP(C82,①商品マスタ!$A$4:$I$106,4,0),"")</f>
        <v/>
      </c>
      <c r="G82" s="40" t="str">
        <f t="shared" si="2"/>
        <v/>
      </c>
      <c r="H82" s="28"/>
      <c r="I82" s="39" t="str">
        <f>IFERROR(VLOOKUP(H82,②仕入先マスタ!$A$4:$G$55,2,0),"")</f>
        <v/>
      </c>
      <c r="J82" s="28"/>
    </row>
    <row r="83" spans="1:10" ht="19.5" customHeight="1">
      <c r="A83" s="24"/>
      <c r="B83" s="41"/>
      <c r="C83" s="24"/>
      <c r="D83" s="42" t="str">
        <f>IFERROR(VLOOKUP(C83,①商品マスタ!$A$4:$I$106,2,0),"")</f>
        <v/>
      </c>
      <c r="E83" s="26"/>
      <c r="F83" s="43" t="str">
        <f>IFERROR(VLOOKUP(C83,①商品マスタ!$A$4:$I$106,4,0),"")</f>
        <v/>
      </c>
      <c r="G83" s="43" t="str">
        <f t="shared" si="2"/>
        <v/>
      </c>
      <c r="H83" s="24"/>
      <c r="I83" s="42" t="str">
        <f>IFERROR(VLOOKUP(H83,②仕入先マスタ!$A$4:$G$55,2,0),"")</f>
        <v/>
      </c>
      <c r="J83" s="24"/>
    </row>
    <row r="84" spans="1:10" ht="19.5" customHeight="1">
      <c r="A84" s="28"/>
      <c r="B84" s="38"/>
      <c r="C84" s="28"/>
      <c r="D84" s="39" t="str">
        <f>IFERROR(VLOOKUP(C84,①商品マスタ!$A$4:$I$106,2,0),"")</f>
        <v/>
      </c>
      <c r="E84" s="30"/>
      <c r="F84" s="40" t="str">
        <f>IFERROR(VLOOKUP(C84,①商品マスタ!$A$4:$I$106,4,0),"")</f>
        <v/>
      </c>
      <c r="G84" s="40" t="str">
        <f t="shared" si="2"/>
        <v/>
      </c>
      <c r="H84" s="28"/>
      <c r="I84" s="39" t="str">
        <f>IFERROR(VLOOKUP(H84,②仕入先マスタ!$A$4:$G$55,2,0),"")</f>
        <v/>
      </c>
      <c r="J84" s="28"/>
    </row>
    <row r="85" spans="1:10" ht="19.5" customHeight="1">
      <c r="A85" s="24"/>
      <c r="B85" s="41"/>
      <c r="C85" s="24"/>
      <c r="D85" s="42" t="str">
        <f>IFERROR(VLOOKUP(C85,①商品マスタ!$A$4:$I$106,2,0),"")</f>
        <v/>
      </c>
      <c r="E85" s="26"/>
      <c r="F85" s="43" t="str">
        <f>IFERROR(VLOOKUP(C85,①商品マスタ!$A$4:$I$106,4,0),"")</f>
        <v/>
      </c>
      <c r="G85" s="43" t="str">
        <f t="shared" si="2"/>
        <v/>
      </c>
      <c r="H85" s="24"/>
      <c r="I85" s="42" t="str">
        <f>IFERROR(VLOOKUP(H85,②仕入先マスタ!$A$4:$G$55,2,0),"")</f>
        <v/>
      </c>
      <c r="J85" s="24"/>
    </row>
    <row r="86" spans="1:10" ht="19.5" customHeight="1">
      <c r="A86" s="28"/>
      <c r="B86" s="38"/>
      <c r="C86" s="28"/>
      <c r="D86" s="39" t="str">
        <f>IFERROR(VLOOKUP(C86,①商品マスタ!$A$4:$I$106,2,0),"")</f>
        <v/>
      </c>
      <c r="E86" s="30"/>
      <c r="F86" s="40" t="str">
        <f>IFERROR(VLOOKUP(C86,①商品マスタ!$A$4:$I$106,4,0),"")</f>
        <v/>
      </c>
      <c r="G86" s="40" t="str">
        <f t="shared" si="2"/>
        <v/>
      </c>
      <c r="H86" s="28"/>
      <c r="I86" s="39" t="str">
        <f>IFERROR(VLOOKUP(H86,②仕入先マスタ!$A$4:$G$55,2,0),"")</f>
        <v/>
      </c>
      <c r="J86" s="28"/>
    </row>
    <row r="87" spans="1:10" ht="19.5" customHeight="1">
      <c r="A87" s="24"/>
      <c r="B87" s="41"/>
      <c r="C87" s="24"/>
      <c r="D87" s="42" t="str">
        <f>IFERROR(VLOOKUP(C87,①商品マスタ!$A$4:$I$106,2,0),"")</f>
        <v/>
      </c>
      <c r="E87" s="26"/>
      <c r="F87" s="43" t="str">
        <f>IFERROR(VLOOKUP(C87,①商品マスタ!$A$4:$I$106,4,0),"")</f>
        <v/>
      </c>
      <c r="G87" s="43" t="str">
        <f t="shared" si="2"/>
        <v/>
      </c>
      <c r="H87" s="24"/>
      <c r="I87" s="42" t="str">
        <f>IFERROR(VLOOKUP(H87,②仕入先マスタ!$A$4:$G$55,2,0),"")</f>
        <v/>
      </c>
      <c r="J87" s="24"/>
    </row>
    <row r="88" spans="1:10" ht="19.5" customHeight="1">
      <c r="A88" s="28"/>
      <c r="B88" s="38"/>
      <c r="C88" s="28"/>
      <c r="D88" s="39" t="str">
        <f>IFERROR(VLOOKUP(C88,①商品マスタ!$A$4:$I$106,2,0),"")</f>
        <v/>
      </c>
      <c r="E88" s="30"/>
      <c r="F88" s="40" t="str">
        <f>IFERROR(VLOOKUP(C88,①商品マスタ!$A$4:$I$106,4,0),"")</f>
        <v/>
      </c>
      <c r="G88" s="40" t="str">
        <f t="shared" si="2"/>
        <v/>
      </c>
      <c r="H88" s="28"/>
      <c r="I88" s="39" t="str">
        <f>IFERROR(VLOOKUP(H88,②仕入先マスタ!$A$4:$G$55,2,0),"")</f>
        <v/>
      </c>
      <c r="J88" s="28"/>
    </row>
    <row r="89" spans="1:10" ht="19.5" customHeight="1">
      <c r="A89" s="24"/>
      <c r="B89" s="41"/>
      <c r="C89" s="24"/>
      <c r="D89" s="42" t="str">
        <f>IFERROR(VLOOKUP(C89,①商品マスタ!$A$4:$I$106,2,0),"")</f>
        <v/>
      </c>
      <c r="E89" s="26"/>
      <c r="F89" s="43" t="str">
        <f>IFERROR(VLOOKUP(C89,①商品マスタ!$A$4:$I$106,4,0),"")</f>
        <v/>
      </c>
      <c r="G89" s="43" t="str">
        <f t="shared" si="2"/>
        <v/>
      </c>
      <c r="H89" s="24"/>
      <c r="I89" s="42" t="str">
        <f>IFERROR(VLOOKUP(H89,②仕入先マスタ!$A$4:$G$55,2,0),"")</f>
        <v/>
      </c>
      <c r="J89" s="24"/>
    </row>
    <row r="90" spans="1:10" ht="19.5" customHeight="1">
      <c r="A90" s="28"/>
      <c r="B90" s="38"/>
      <c r="C90" s="28"/>
      <c r="D90" s="39" t="str">
        <f>IFERROR(VLOOKUP(C90,①商品マスタ!$A$4:$I$106,2,0),"")</f>
        <v/>
      </c>
      <c r="E90" s="30"/>
      <c r="F90" s="40" t="str">
        <f>IFERROR(VLOOKUP(C90,①商品マスタ!$A$4:$I$106,4,0),"")</f>
        <v/>
      </c>
      <c r="G90" s="40" t="str">
        <f t="shared" si="2"/>
        <v/>
      </c>
      <c r="H90" s="28"/>
      <c r="I90" s="39" t="str">
        <f>IFERROR(VLOOKUP(H90,②仕入先マスタ!$A$4:$G$55,2,0),"")</f>
        <v/>
      </c>
      <c r="J90" s="28"/>
    </row>
    <row r="91" spans="1:10" ht="19.5" customHeight="1">
      <c r="A91" s="24"/>
      <c r="B91" s="41"/>
      <c r="C91" s="24"/>
      <c r="D91" s="42" t="str">
        <f>IFERROR(VLOOKUP(C91,①商品マスタ!$A$4:$I$106,2,0),"")</f>
        <v/>
      </c>
      <c r="E91" s="26"/>
      <c r="F91" s="43" t="str">
        <f>IFERROR(VLOOKUP(C91,①商品マスタ!$A$4:$I$106,4,0),"")</f>
        <v/>
      </c>
      <c r="G91" s="43" t="str">
        <f t="shared" si="2"/>
        <v/>
      </c>
      <c r="H91" s="24"/>
      <c r="I91" s="42" t="str">
        <f>IFERROR(VLOOKUP(H91,②仕入先マスタ!$A$4:$G$55,2,0),"")</f>
        <v/>
      </c>
      <c r="J91" s="24"/>
    </row>
    <row r="92" spans="1:10" ht="19.5" customHeight="1">
      <c r="A92" s="28"/>
      <c r="B92" s="38"/>
      <c r="C92" s="28"/>
      <c r="D92" s="39" t="str">
        <f>IFERROR(VLOOKUP(C92,①商品マスタ!$A$4:$I$106,2,0),"")</f>
        <v/>
      </c>
      <c r="E92" s="30"/>
      <c r="F92" s="40" t="str">
        <f>IFERROR(VLOOKUP(C92,①商品マスタ!$A$4:$I$106,4,0),"")</f>
        <v/>
      </c>
      <c r="G92" s="40" t="str">
        <f t="shared" si="2"/>
        <v/>
      </c>
      <c r="H92" s="28"/>
      <c r="I92" s="39" t="str">
        <f>IFERROR(VLOOKUP(H92,②仕入先マスタ!$A$4:$G$55,2,0),"")</f>
        <v/>
      </c>
      <c r="J92" s="28"/>
    </row>
    <row r="93" spans="1:10" ht="19.5" customHeight="1">
      <c r="A93" s="24"/>
      <c r="B93" s="41"/>
      <c r="C93" s="24"/>
      <c r="D93" s="42" t="str">
        <f>IFERROR(VLOOKUP(C93,①商品マスタ!$A$4:$I$106,2,0),"")</f>
        <v/>
      </c>
      <c r="E93" s="26"/>
      <c r="F93" s="43" t="str">
        <f>IFERROR(VLOOKUP(C93,①商品マスタ!$A$4:$I$106,4,0),"")</f>
        <v/>
      </c>
      <c r="G93" s="43" t="str">
        <f t="shared" si="2"/>
        <v/>
      </c>
      <c r="H93" s="24"/>
      <c r="I93" s="42" t="str">
        <f>IFERROR(VLOOKUP(H93,②仕入先マスタ!$A$4:$G$55,2,0),"")</f>
        <v/>
      </c>
      <c r="J93" s="24"/>
    </row>
    <row r="94" spans="1:10" ht="19.5" customHeight="1">
      <c r="A94" s="28"/>
      <c r="B94" s="38"/>
      <c r="C94" s="28"/>
      <c r="D94" s="39" t="str">
        <f>IFERROR(VLOOKUP(C94,①商品マスタ!$A$4:$I$106,2,0),"")</f>
        <v/>
      </c>
      <c r="E94" s="30"/>
      <c r="F94" s="40" t="str">
        <f>IFERROR(VLOOKUP(C94,①商品マスタ!$A$4:$I$106,4,0),"")</f>
        <v/>
      </c>
      <c r="G94" s="40" t="str">
        <f t="shared" si="2"/>
        <v/>
      </c>
      <c r="H94" s="28"/>
      <c r="I94" s="39" t="str">
        <f>IFERROR(VLOOKUP(H94,②仕入先マスタ!$A$4:$G$55,2,0),"")</f>
        <v/>
      </c>
      <c r="J94" s="28"/>
    </row>
    <row r="95" spans="1:10" ht="19.5" customHeight="1">
      <c r="A95" s="24"/>
      <c r="B95" s="41"/>
      <c r="C95" s="24"/>
      <c r="D95" s="42" t="str">
        <f>IFERROR(VLOOKUP(C95,①商品マスタ!$A$4:$I$106,2,0),"")</f>
        <v/>
      </c>
      <c r="E95" s="26"/>
      <c r="F95" s="43" t="str">
        <f>IFERROR(VLOOKUP(C95,①商品マスタ!$A$4:$I$106,4,0),"")</f>
        <v/>
      </c>
      <c r="G95" s="43" t="str">
        <f t="shared" si="2"/>
        <v/>
      </c>
      <c r="H95" s="24"/>
      <c r="I95" s="42" t="str">
        <f>IFERROR(VLOOKUP(H95,②仕入先マスタ!$A$4:$G$55,2,0),"")</f>
        <v/>
      </c>
      <c r="J95" s="24"/>
    </row>
    <row r="96" spans="1:10" ht="19.5" customHeight="1">
      <c r="A96" s="28"/>
      <c r="B96" s="38"/>
      <c r="C96" s="28"/>
      <c r="D96" s="39" t="str">
        <f>IFERROR(VLOOKUP(C96,①商品マスタ!$A$4:$I$106,2,0),"")</f>
        <v/>
      </c>
      <c r="E96" s="30"/>
      <c r="F96" s="40" t="str">
        <f>IFERROR(VLOOKUP(C96,①商品マスタ!$A$4:$I$106,4,0),"")</f>
        <v/>
      </c>
      <c r="G96" s="40" t="str">
        <f t="shared" si="2"/>
        <v/>
      </c>
      <c r="H96" s="28"/>
      <c r="I96" s="39" t="str">
        <f>IFERROR(VLOOKUP(H96,②仕入先マスタ!$A$4:$G$55,2,0),"")</f>
        <v/>
      </c>
      <c r="J96" s="28"/>
    </row>
    <row r="97" spans="1:10" ht="19.5" customHeight="1">
      <c r="A97" s="24"/>
      <c r="B97" s="41"/>
      <c r="C97" s="24"/>
      <c r="D97" s="42" t="str">
        <f>IFERROR(VLOOKUP(C97,①商品マスタ!$A$4:$I$106,2,0),"")</f>
        <v/>
      </c>
      <c r="E97" s="26"/>
      <c r="F97" s="43" t="str">
        <f>IFERROR(VLOOKUP(C97,①商品マスタ!$A$4:$I$106,4,0),"")</f>
        <v/>
      </c>
      <c r="G97" s="43" t="str">
        <f t="shared" si="2"/>
        <v/>
      </c>
      <c r="H97" s="24"/>
      <c r="I97" s="42" t="str">
        <f>IFERROR(VLOOKUP(H97,②仕入先マスタ!$A$4:$G$55,2,0),"")</f>
        <v/>
      </c>
      <c r="J97" s="24"/>
    </row>
    <row r="98" spans="1:10" ht="19.5" customHeight="1">
      <c r="A98" s="28"/>
      <c r="B98" s="38"/>
      <c r="C98" s="28"/>
      <c r="D98" s="39" t="str">
        <f>IFERROR(VLOOKUP(C98,①商品マスタ!$A$4:$I$106,2,0),"")</f>
        <v/>
      </c>
      <c r="E98" s="30"/>
      <c r="F98" s="40" t="str">
        <f>IFERROR(VLOOKUP(C98,①商品マスタ!$A$4:$I$106,4,0),"")</f>
        <v/>
      </c>
      <c r="G98" s="40" t="str">
        <f t="shared" si="2"/>
        <v/>
      </c>
      <c r="H98" s="28"/>
      <c r="I98" s="39" t="str">
        <f>IFERROR(VLOOKUP(H98,②仕入先マスタ!$A$4:$G$55,2,0),"")</f>
        <v/>
      </c>
      <c r="J98" s="28"/>
    </row>
    <row r="99" spans="1:10" ht="19.5" customHeight="1">
      <c r="A99" s="24"/>
      <c r="B99" s="41"/>
      <c r="C99" s="24"/>
      <c r="D99" s="42" t="str">
        <f>IFERROR(VLOOKUP(C99,①商品マスタ!$A$4:$I$106,2,0),"")</f>
        <v/>
      </c>
      <c r="E99" s="26"/>
      <c r="F99" s="43" t="str">
        <f>IFERROR(VLOOKUP(C99,①商品マスタ!$A$4:$I$106,4,0),"")</f>
        <v/>
      </c>
      <c r="G99" s="43" t="str">
        <f t="shared" si="2"/>
        <v/>
      </c>
      <c r="H99" s="24"/>
      <c r="I99" s="42" t="str">
        <f>IFERROR(VLOOKUP(H99,②仕入先マスタ!$A$4:$G$55,2,0),"")</f>
        <v/>
      </c>
      <c r="J99" s="24"/>
    </row>
    <row r="100" spans="1:10" ht="19.5" customHeight="1">
      <c r="A100" s="28"/>
      <c r="B100" s="38"/>
      <c r="C100" s="28"/>
      <c r="D100" s="39" t="str">
        <f>IFERROR(VLOOKUP(C100,①商品マスタ!$A$4:$I$106,2,0),"")</f>
        <v/>
      </c>
      <c r="E100" s="30"/>
      <c r="F100" s="40" t="str">
        <f>IFERROR(VLOOKUP(C100,①商品マスタ!$A$4:$I$106,4,0),"")</f>
        <v/>
      </c>
      <c r="G100" s="40" t="str">
        <f t="shared" si="2"/>
        <v/>
      </c>
      <c r="H100" s="28"/>
      <c r="I100" s="39" t="str">
        <f>IFERROR(VLOOKUP(H100,②仕入先マスタ!$A$4:$G$55,2,0),"")</f>
        <v/>
      </c>
      <c r="J100" s="28"/>
    </row>
    <row r="101" spans="1:10" ht="19.5" customHeight="1">
      <c r="A101" s="24"/>
      <c r="B101" s="41"/>
      <c r="C101" s="24"/>
      <c r="D101" s="42" t="str">
        <f>IFERROR(VLOOKUP(C101,①商品マスタ!$A$4:$I$106,2,0),"")</f>
        <v/>
      </c>
      <c r="E101" s="26"/>
      <c r="F101" s="43" t="str">
        <f>IFERROR(VLOOKUP(C101,①商品マスタ!$A$4:$I$106,4,0),"")</f>
        <v/>
      </c>
      <c r="G101" s="43" t="str">
        <f t="shared" si="2"/>
        <v/>
      </c>
      <c r="H101" s="24"/>
      <c r="I101" s="42" t="str">
        <f>IFERROR(VLOOKUP(H101,②仕入先マスタ!$A$4:$G$55,2,0),"")</f>
        <v/>
      </c>
      <c r="J101" s="24"/>
    </row>
    <row r="102" spans="1:10" ht="19.5" customHeight="1">
      <c r="A102" s="28"/>
      <c r="B102" s="38"/>
      <c r="C102" s="28"/>
      <c r="D102" s="39" t="str">
        <f>IFERROR(VLOOKUP(C102,①商品マスタ!$A$4:$I$106,2,0),"")</f>
        <v/>
      </c>
      <c r="E102" s="30"/>
      <c r="F102" s="40" t="str">
        <f>IFERROR(VLOOKUP(C102,①商品マスタ!$A$4:$I$106,4,0),"")</f>
        <v/>
      </c>
      <c r="G102" s="40" t="str">
        <f t="shared" ref="G102:G133" si="3">IFERROR(IF(AND(E102&lt;&gt;"",F102&lt;&gt;""),E102*F102,""),"")</f>
        <v/>
      </c>
      <c r="H102" s="28"/>
      <c r="I102" s="39" t="str">
        <f>IFERROR(VLOOKUP(H102,②仕入先マスタ!$A$4:$G$55,2,0),"")</f>
        <v/>
      </c>
      <c r="J102" s="28"/>
    </row>
    <row r="103" spans="1:10" ht="19.5" customHeight="1">
      <c r="A103" s="24"/>
      <c r="B103" s="41"/>
      <c r="C103" s="24"/>
      <c r="D103" s="42" t="str">
        <f>IFERROR(VLOOKUP(C103,①商品マスタ!$A$4:$I$106,2,0),"")</f>
        <v/>
      </c>
      <c r="E103" s="26"/>
      <c r="F103" s="43" t="str">
        <f>IFERROR(VLOOKUP(C103,①商品マスタ!$A$4:$I$106,4,0),"")</f>
        <v/>
      </c>
      <c r="G103" s="43" t="str">
        <f t="shared" si="3"/>
        <v/>
      </c>
      <c r="H103" s="24"/>
      <c r="I103" s="42" t="str">
        <f>IFERROR(VLOOKUP(H103,②仕入先マスタ!$A$4:$G$55,2,0),"")</f>
        <v/>
      </c>
      <c r="J103" s="24"/>
    </row>
    <row r="104" spans="1:10" ht="19.5" customHeight="1">
      <c r="A104" s="28"/>
      <c r="B104" s="38"/>
      <c r="C104" s="28"/>
      <c r="D104" s="39" t="str">
        <f>IFERROR(VLOOKUP(C104,①商品マスタ!$A$4:$I$106,2,0),"")</f>
        <v/>
      </c>
      <c r="E104" s="30"/>
      <c r="F104" s="40" t="str">
        <f>IFERROR(VLOOKUP(C104,①商品マスタ!$A$4:$I$106,4,0),"")</f>
        <v/>
      </c>
      <c r="G104" s="40" t="str">
        <f t="shared" si="3"/>
        <v/>
      </c>
      <c r="H104" s="28"/>
      <c r="I104" s="39" t="str">
        <f>IFERROR(VLOOKUP(H104,②仕入先マスタ!$A$4:$G$55,2,0),"")</f>
        <v/>
      </c>
      <c r="J104" s="28"/>
    </row>
    <row r="105" spans="1:10" ht="19.5" customHeight="1">
      <c r="A105" s="24"/>
      <c r="B105" s="41"/>
      <c r="C105" s="24"/>
      <c r="D105" s="42" t="str">
        <f>IFERROR(VLOOKUP(C105,①商品マスタ!$A$4:$I$106,2,0),"")</f>
        <v/>
      </c>
      <c r="E105" s="26"/>
      <c r="F105" s="43" t="str">
        <f>IFERROR(VLOOKUP(C105,①商品マスタ!$A$4:$I$106,4,0),"")</f>
        <v/>
      </c>
      <c r="G105" s="43" t="str">
        <f t="shared" si="3"/>
        <v/>
      </c>
      <c r="H105" s="24"/>
      <c r="I105" s="42" t="str">
        <f>IFERROR(VLOOKUP(H105,②仕入先マスタ!$A$4:$G$55,2,0),"")</f>
        <v/>
      </c>
      <c r="J105" s="24"/>
    </row>
    <row r="106" spans="1:10" ht="19.5" customHeight="1">
      <c r="A106" s="28"/>
      <c r="B106" s="38"/>
      <c r="C106" s="28"/>
      <c r="D106" s="39" t="str">
        <f>IFERROR(VLOOKUP(C106,①商品マスタ!$A$4:$I$106,2,0),"")</f>
        <v/>
      </c>
      <c r="E106" s="30"/>
      <c r="F106" s="40" t="str">
        <f>IFERROR(VLOOKUP(C106,①商品マスタ!$A$4:$I$106,4,0),"")</f>
        <v/>
      </c>
      <c r="G106" s="40" t="str">
        <f t="shared" si="3"/>
        <v/>
      </c>
      <c r="H106" s="28"/>
      <c r="I106" s="39" t="str">
        <f>IFERROR(VLOOKUP(H106,②仕入先マスタ!$A$4:$G$55,2,0),"")</f>
        <v/>
      </c>
      <c r="J106" s="28"/>
    </row>
    <row r="107" spans="1:10" ht="19.5" customHeight="1">
      <c r="A107" s="24"/>
      <c r="B107" s="41"/>
      <c r="C107" s="24"/>
      <c r="D107" s="42" t="str">
        <f>IFERROR(VLOOKUP(C107,①商品マスタ!$A$4:$I$106,2,0),"")</f>
        <v/>
      </c>
      <c r="E107" s="26"/>
      <c r="F107" s="43" t="str">
        <f>IFERROR(VLOOKUP(C107,①商品マスタ!$A$4:$I$106,4,0),"")</f>
        <v/>
      </c>
      <c r="G107" s="43" t="str">
        <f t="shared" si="3"/>
        <v/>
      </c>
      <c r="H107" s="24"/>
      <c r="I107" s="42" t="str">
        <f>IFERROR(VLOOKUP(H107,②仕入先マスタ!$A$4:$G$55,2,0),"")</f>
        <v/>
      </c>
      <c r="J107" s="24"/>
    </row>
    <row r="108" spans="1:10" ht="19.5" customHeight="1">
      <c r="A108" s="28"/>
      <c r="B108" s="38"/>
      <c r="C108" s="28"/>
      <c r="D108" s="39" t="str">
        <f>IFERROR(VLOOKUP(C108,①商品マスタ!$A$4:$I$106,2,0),"")</f>
        <v/>
      </c>
      <c r="E108" s="30"/>
      <c r="F108" s="40" t="str">
        <f>IFERROR(VLOOKUP(C108,①商品マスタ!$A$4:$I$106,4,0),"")</f>
        <v/>
      </c>
      <c r="G108" s="40" t="str">
        <f t="shared" si="3"/>
        <v/>
      </c>
      <c r="H108" s="28"/>
      <c r="I108" s="39" t="str">
        <f>IFERROR(VLOOKUP(H108,②仕入先マスタ!$A$4:$G$55,2,0),"")</f>
        <v/>
      </c>
      <c r="J108" s="28"/>
    </row>
    <row r="109" spans="1:10" ht="19.5" customHeight="1">
      <c r="A109" s="24"/>
      <c r="B109" s="41"/>
      <c r="C109" s="24"/>
      <c r="D109" s="42" t="str">
        <f>IFERROR(VLOOKUP(C109,①商品マスタ!$A$4:$I$106,2,0),"")</f>
        <v/>
      </c>
      <c r="E109" s="26"/>
      <c r="F109" s="43" t="str">
        <f>IFERROR(VLOOKUP(C109,①商品マスタ!$A$4:$I$106,4,0),"")</f>
        <v/>
      </c>
      <c r="G109" s="43" t="str">
        <f t="shared" si="3"/>
        <v/>
      </c>
      <c r="H109" s="24"/>
      <c r="I109" s="42" t="str">
        <f>IFERROR(VLOOKUP(H109,②仕入先マスタ!$A$4:$G$55,2,0),"")</f>
        <v/>
      </c>
      <c r="J109" s="24"/>
    </row>
    <row r="110" spans="1:10" ht="19.5" customHeight="1">
      <c r="A110" s="28"/>
      <c r="B110" s="38"/>
      <c r="C110" s="28"/>
      <c r="D110" s="39" t="str">
        <f>IFERROR(VLOOKUP(C110,①商品マスタ!$A$4:$I$106,2,0),"")</f>
        <v/>
      </c>
      <c r="E110" s="30"/>
      <c r="F110" s="40" t="str">
        <f>IFERROR(VLOOKUP(C110,①商品マスタ!$A$4:$I$106,4,0),"")</f>
        <v/>
      </c>
      <c r="G110" s="40" t="str">
        <f t="shared" si="3"/>
        <v/>
      </c>
      <c r="H110" s="28"/>
      <c r="I110" s="39" t="str">
        <f>IFERROR(VLOOKUP(H110,②仕入先マスタ!$A$4:$G$55,2,0),"")</f>
        <v/>
      </c>
      <c r="J110" s="28"/>
    </row>
    <row r="111" spans="1:10" ht="19.5" customHeight="1">
      <c r="A111" s="24"/>
      <c r="B111" s="41"/>
      <c r="C111" s="24"/>
      <c r="D111" s="42" t="str">
        <f>IFERROR(VLOOKUP(C111,①商品マスタ!$A$4:$I$106,2,0),"")</f>
        <v/>
      </c>
      <c r="E111" s="26"/>
      <c r="F111" s="43" t="str">
        <f>IFERROR(VLOOKUP(C111,①商品マスタ!$A$4:$I$106,4,0),"")</f>
        <v/>
      </c>
      <c r="G111" s="43" t="str">
        <f t="shared" si="3"/>
        <v/>
      </c>
      <c r="H111" s="24"/>
      <c r="I111" s="42" t="str">
        <f>IFERROR(VLOOKUP(H111,②仕入先マスタ!$A$4:$G$55,2,0),"")</f>
        <v/>
      </c>
      <c r="J111" s="24"/>
    </row>
    <row r="112" spans="1:10" ht="19.5" customHeight="1">
      <c r="A112" s="28"/>
      <c r="B112" s="38"/>
      <c r="C112" s="28"/>
      <c r="D112" s="39" t="str">
        <f>IFERROR(VLOOKUP(C112,①商品マスタ!$A$4:$I$106,2,0),"")</f>
        <v/>
      </c>
      <c r="E112" s="30"/>
      <c r="F112" s="40" t="str">
        <f>IFERROR(VLOOKUP(C112,①商品マスタ!$A$4:$I$106,4,0),"")</f>
        <v/>
      </c>
      <c r="G112" s="40" t="str">
        <f t="shared" si="3"/>
        <v/>
      </c>
      <c r="H112" s="28"/>
      <c r="I112" s="39" t="str">
        <f>IFERROR(VLOOKUP(H112,②仕入先マスタ!$A$4:$G$55,2,0),"")</f>
        <v/>
      </c>
      <c r="J112" s="28"/>
    </row>
    <row r="113" spans="1:10" ht="19.5" customHeight="1">
      <c r="A113" s="24"/>
      <c r="B113" s="41"/>
      <c r="C113" s="24"/>
      <c r="D113" s="42" t="str">
        <f>IFERROR(VLOOKUP(C113,①商品マスタ!$A$4:$I$106,2,0),"")</f>
        <v/>
      </c>
      <c r="E113" s="26"/>
      <c r="F113" s="43" t="str">
        <f>IFERROR(VLOOKUP(C113,①商品マスタ!$A$4:$I$106,4,0),"")</f>
        <v/>
      </c>
      <c r="G113" s="43" t="str">
        <f t="shared" si="3"/>
        <v/>
      </c>
      <c r="H113" s="24"/>
      <c r="I113" s="42" t="str">
        <f>IFERROR(VLOOKUP(H113,②仕入先マスタ!$A$4:$G$55,2,0),"")</f>
        <v/>
      </c>
      <c r="J113" s="24"/>
    </row>
    <row r="114" spans="1:10" ht="19.5" customHeight="1">
      <c r="A114" s="28"/>
      <c r="B114" s="38"/>
      <c r="C114" s="28"/>
      <c r="D114" s="39" t="str">
        <f>IFERROR(VLOOKUP(C114,①商品マスタ!$A$4:$I$106,2,0),"")</f>
        <v/>
      </c>
      <c r="E114" s="30"/>
      <c r="F114" s="40" t="str">
        <f>IFERROR(VLOOKUP(C114,①商品マスタ!$A$4:$I$106,4,0),"")</f>
        <v/>
      </c>
      <c r="G114" s="40" t="str">
        <f t="shared" si="3"/>
        <v/>
      </c>
      <c r="H114" s="28"/>
      <c r="I114" s="39" t="str">
        <f>IFERROR(VLOOKUP(H114,②仕入先マスタ!$A$4:$G$55,2,0),"")</f>
        <v/>
      </c>
      <c r="J114" s="28"/>
    </row>
    <row r="115" spans="1:10" ht="19.5" customHeight="1">
      <c r="A115" s="24"/>
      <c r="B115" s="41"/>
      <c r="C115" s="24"/>
      <c r="D115" s="42" t="str">
        <f>IFERROR(VLOOKUP(C115,①商品マスタ!$A$4:$I$106,2,0),"")</f>
        <v/>
      </c>
      <c r="E115" s="26"/>
      <c r="F115" s="43" t="str">
        <f>IFERROR(VLOOKUP(C115,①商品マスタ!$A$4:$I$106,4,0),"")</f>
        <v/>
      </c>
      <c r="G115" s="43" t="str">
        <f t="shared" si="3"/>
        <v/>
      </c>
      <c r="H115" s="24"/>
      <c r="I115" s="42" t="str">
        <f>IFERROR(VLOOKUP(H115,②仕入先マスタ!$A$4:$G$55,2,0),"")</f>
        <v/>
      </c>
      <c r="J115" s="24"/>
    </row>
    <row r="116" spans="1:10" ht="19.5" customHeight="1">
      <c r="A116" s="28"/>
      <c r="B116" s="38"/>
      <c r="C116" s="28"/>
      <c r="D116" s="39" t="str">
        <f>IFERROR(VLOOKUP(C116,①商品マスタ!$A$4:$I$106,2,0),"")</f>
        <v/>
      </c>
      <c r="E116" s="30"/>
      <c r="F116" s="40" t="str">
        <f>IFERROR(VLOOKUP(C116,①商品マスタ!$A$4:$I$106,4,0),"")</f>
        <v/>
      </c>
      <c r="G116" s="40" t="str">
        <f t="shared" si="3"/>
        <v/>
      </c>
      <c r="H116" s="28"/>
      <c r="I116" s="39" t="str">
        <f>IFERROR(VLOOKUP(H116,②仕入先マスタ!$A$4:$G$55,2,0),"")</f>
        <v/>
      </c>
      <c r="J116" s="28"/>
    </row>
    <row r="117" spans="1:10" ht="19.5" customHeight="1">
      <c r="A117" s="24"/>
      <c r="B117" s="41"/>
      <c r="C117" s="24"/>
      <c r="D117" s="42" t="str">
        <f>IFERROR(VLOOKUP(C117,①商品マスタ!$A$4:$I$106,2,0),"")</f>
        <v/>
      </c>
      <c r="E117" s="26"/>
      <c r="F117" s="43" t="str">
        <f>IFERROR(VLOOKUP(C117,①商品マスタ!$A$4:$I$106,4,0),"")</f>
        <v/>
      </c>
      <c r="G117" s="43" t="str">
        <f t="shared" si="3"/>
        <v/>
      </c>
      <c r="H117" s="24"/>
      <c r="I117" s="42" t="str">
        <f>IFERROR(VLOOKUP(H117,②仕入先マスタ!$A$4:$G$55,2,0),"")</f>
        <v/>
      </c>
      <c r="J117" s="24"/>
    </row>
    <row r="118" spans="1:10" ht="19.5" customHeight="1">
      <c r="A118" s="28"/>
      <c r="B118" s="38"/>
      <c r="C118" s="28"/>
      <c r="D118" s="39" t="str">
        <f>IFERROR(VLOOKUP(C118,①商品マスタ!$A$4:$I$106,2,0),"")</f>
        <v/>
      </c>
      <c r="E118" s="30"/>
      <c r="F118" s="40" t="str">
        <f>IFERROR(VLOOKUP(C118,①商品マスタ!$A$4:$I$106,4,0),"")</f>
        <v/>
      </c>
      <c r="G118" s="40" t="str">
        <f t="shared" si="3"/>
        <v/>
      </c>
      <c r="H118" s="28"/>
      <c r="I118" s="39" t="str">
        <f>IFERROR(VLOOKUP(H118,②仕入先マスタ!$A$4:$G$55,2,0),"")</f>
        <v/>
      </c>
      <c r="J118" s="28"/>
    </row>
    <row r="119" spans="1:10" ht="19.5" customHeight="1">
      <c r="A119" s="24"/>
      <c r="B119" s="41"/>
      <c r="C119" s="24"/>
      <c r="D119" s="42" t="str">
        <f>IFERROR(VLOOKUP(C119,①商品マスタ!$A$4:$I$106,2,0),"")</f>
        <v/>
      </c>
      <c r="E119" s="26"/>
      <c r="F119" s="43" t="str">
        <f>IFERROR(VLOOKUP(C119,①商品マスタ!$A$4:$I$106,4,0),"")</f>
        <v/>
      </c>
      <c r="G119" s="43" t="str">
        <f t="shared" si="3"/>
        <v/>
      </c>
      <c r="H119" s="24"/>
      <c r="I119" s="42" t="str">
        <f>IFERROR(VLOOKUP(H119,②仕入先マスタ!$A$4:$G$55,2,0),"")</f>
        <v/>
      </c>
      <c r="J119" s="24"/>
    </row>
    <row r="120" spans="1:10" ht="19.5" customHeight="1">
      <c r="A120" s="28"/>
      <c r="B120" s="38"/>
      <c r="C120" s="28"/>
      <c r="D120" s="39" t="str">
        <f>IFERROR(VLOOKUP(C120,①商品マスタ!$A$4:$I$106,2,0),"")</f>
        <v/>
      </c>
      <c r="E120" s="30"/>
      <c r="F120" s="40" t="str">
        <f>IFERROR(VLOOKUP(C120,①商品マスタ!$A$4:$I$106,4,0),"")</f>
        <v/>
      </c>
      <c r="G120" s="40" t="str">
        <f t="shared" si="3"/>
        <v/>
      </c>
      <c r="H120" s="28"/>
      <c r="I120" s="39" t="str">
        <f>IFERROR(VLOOKUP(H120,②仕入先マスタ!$A$4:$G$55,2,0),"")</f>
        <v/>
      </c>
      <c r="J120" s="28"/>
    </row>
    <row r="121" spans="1:10" ht="19.5" customHeight="1">
      <c r="A121" s="24"/>
      <c r="B121" s="41"/>
      <c r="C121" s="24"/>
      <c r="D121" s="42" t="str">
        <f>IFERROR(VLOOKUP(C121,①商品マスタ!$A$4:$I$106,2,0),"")</f>
        <v/>
      </c>
      <c r="E121" s="26"/>
      <c r="F121" s="43" t="str">
        <f>IFERROR(VLOOKUP(C121,①商品マスタ!$A$4:$I$106,4,0),"")</f>
        <v/>
      </c>
      <c r="G121" s="43" t="str">
        <f t="shared" si="3"/>
        <v/>
      </c>
      <c r="H121" s="24"/>
      <c r="I121" s="42" t="str">
        <f>IFERROR(VLOOKUP(H121,②仕入先マスタ!$A$4:$G$55,2,0),"")</f>
        <v/>
      </c>
      <c r="J121" s="24"/>
    </row>
    <row r="122" spans="1:10" ht="19.5" customHeight="1">
      <c r="A122" s="28"/>
      <c r="B122" s="38"/>
      <c r="C122" s="28"/>
      <c r="D122" s="39" t="str">
        <f>IFERROR(VLOOKUP(C122,①商品マスタ!$A$4:$I$106,2,0),"")</f>
        <v/>
      </c>
      <c r="E122" s="30"/>
      <c r="F122" s="40" t="str">
        <f>IFERROR(VLOOKUP(C122,①商品マスタ!$A$4:$I$106,4,0),"")</f>
        <v/>
      </c>
      <c r="G122" s="40" t="str">
        <f t="shared" si="3"/>
        <v/>
      </c>
      <c r="H122" s="28"/>
      <c r="I122" s="39" t="str">
        <f>IFERROR(VLOOKUP(H122,②仕入先マスタ!$A$4:$G$55,2,0),"")</f>
        <v/>
      </c>
      <c r="J122" s="28"/>
    </row>
    <row r="123" spans="1:10" ht="19.5" customHeight="1">
      <c r="A123" s="24"/>
      <c r="B123" s="41"/>
      <c r="C123" s="24"/>
      <c r="D123" s="42" t="str">
        <f>IFERROR(VLOOKUP(C123,①商品マスタ!$A$4:$I$106,2,0),"")</f>
        <v/>
      </c>
      <c r="E123" s="26"/>
      <c r="F123" s="43" t="str">
        <f>IFERROR(VLOOKUP(C123,①商品マスタ!$A$4:$I$106,4,0),"")</f>
        <v/>
      </c>
      <c r="G123" s="43" t="str">
        <f t="shared" si="3"/>
        <v/>
      </c>
      <c r="H123" s="24"/>
      <c r="I123" s="42" t="str">
        <f>IFERROR(VLOOKUP(H123,②仕入先マスタ!$A$4:$G$55,2,0),"")</f>
        <v/>
      </c>
      <c r="J123" s="24"/>
    </row>
    <row r="124" spans="1:10" ht="19.5" customHeight="1">
      <c r="A124" s="28"/>
      <c r="B124" s="38"/>
      <c r="C124" s="28"/>
      <c r="D124" s="39" t="str">
        <f>IFERROR(VLOOKUP(C124,①商品マスタ!$A$4:$I$106,2,0),"")</f>
        <v/>
      </c>
      <c r="E124" s="30"/>
      <c r="F124" s="40" t="str">
        <f>IFERROR(VLOOKUP(C124,①商品マスタ!$A$4:$I$106,4,0),"")</f>
        <v/>
      </c>
      <c r="G124" s="40" t="str">
        <f t="shared" si="3"/>
        <v/>
      </c>
      <c r="H124" s="28"/>
      <c r="I124" s="39" t="str">
        <f>IFERROR(VLOOKUP(H124,②仕入先マスタ!$A$4:$G$55,2,0),"")</f>
        <v/>
      </c>
      <c r="J124" s="28"/>
    </row>
    <row r="125" spans="1:10" ht="19.5" customHeight="1">
      <c r="A125" s="24"/>
      <c r="B125" s="41"/>
      <c r="C125" s="24"/>
      <c r="D125" s="42" t="str">
        <f>IFERROR(VLOOKUP(C125,①商品マスタ!$A$4:$I$106,2,0),"")</f>
        <v/>
      </c>
      <c r="E125" s="26"/>
      <c r="F125" s="43" t="str">
        <f>IFERROR(VLOOKUP(C125,①商品マスタ!$A$4:$I$106,4,0),"")</f>
        <v/>
      </c>
      <c r="G125" s="43" t="str">
        <f t="shared" si="3"/>
        <v/>
      </c>
      <c r="H125" s="24"/>
      <c r="I125" s="42" t="str">
        <f>IFERROR(VLOOKUP(H125,②仕入先マスタ!$A$4:$G$55,2,0),"")</f>
        <v/>
      </c>
      <c r="J125" s="24"/>
    </row>
    <row r="126" spans="1:10" ht="19.5" customHeight="1">
      <c r="A126" s="28"/>
      <c r="B126" s="38"/>
      <c r="C126" s="28"/>
      <c r="D126" s="39" t="str">
        <f>IFERROR(VLOOKUP(C126,①商品マスタ!$A$4:$I$106,2,0),"")</f>
        <v/>
      </c>
      <c r="E126" s="30"/>
      <c r="F126" s="40" t="str">
        <f>IFERROR(VLOOKUP(C126,①商品マスタ!$A$4:$I$106,4,0),"")</f>
        <v/>
      </c>
      <c r="G126" s="40" t="str">
        <f t="shared" si="3"/>
        <v/>
      </c>
      <c r="H126" s="28"/>
      <c r="I126" s="39" t="str">
        <f>IFERROR(VLOOKUP(H126,②仕入先マスタ!$A$4:$G$55,2,0),"")</f>
        <v/>
      </c>
      <c r="J126" s="28"/>
    </row>
    <row r="127" spans="1:10" ht="19.5" customHeight="1">
      <c r="A127" s="24"/>
      <c r="B127" s="41"/>
      <c r="C127" s="24"/>
      <c r="D127" s="42" t="str">
        <f>IFERROR(VLOOKUP(C127,①商品マスタ!$A$4:$I$106,2,0),"")</f>
        <v/>
      </c>
      <c r="E127" s="26"/>
      <c r="F127" s="43" t="str">
        <f>IFERROR(VLOOKUP(C127,①商品マスタ!$A$4:$I$106,4,0),"")</f>
        <v/>
      </c>
      <c r="G127" s="43" t="str">
        <f t="shared" si="3"/>
        <v/>
      </c>
      <c r="H127" s="24"/>
      <c r="I127" s="42" t="str">
        <f>IFERROR(VLOOKUP(H127,②仕入先マスタ!$A$4:$G$55,2,0),"")</f>
        <v/>
      </c>
      <c r="J127" s="24"/>
    </row>
    <row r="128" spans="1:10" ht="19.5" customHeight="1">
      <c r="A128" s="28"/>
      <c r="B128" s="38"/>
      <c r="C128" s="28"/>
      <c r="D128" s="39" t="str">
        <f>IFERROR(VLOOKUP(C128,①商品マスタ!$A$4:$I$106,2,0),"")</f>
        <v/>
      </c>
      <c r="E128" s="30"/>
      <c r="F128" s="40" t="str">
        <f>IFERROR(VLOOKUP(C128,①商品マスタ!$A$4:$I$106,4,0),"")</f>
        <v/>
      </c>
      <c r="G128" s="40" t="str">
        <f t="shared" si="3"/>
        <v/>
      </c>
      <c r="H128" s="28"/>
      <c r="I128" s="39" t="str">
        <f>IFERROR(VLOOKUP(H128,②仕入先マスタ!$A$4:$G$55,2,0),"")</f>
        <v/>
      </c>
      <c r="J128" s="28"/>
    </row>
    <row r="129" spans="1:10" ht="19.5" customHeight="1">
      <c r="A129" s="24"/>
      <c r="B129" s="41"/>
      <c r="C129" s="24"/>
      <c r="D129" s="42" t="str">
        <f>IFERROR(VLOOKUP(C129,①商品マスタ!$A$4:$I$106,2,0),"")</f>
        <v/>
      </c>
      <c r="E129" s="26"/>
      <c r="F129" s="43" t="str">
        <f>IFERROR(VLOOKUP(C129,①商品マスタ!$A$4:$I$106,4,0),"")</f>
        <v/>
      </c>
      <c r="G129" s="43" t="str">
        <f t="shared" si="3"/>
        <v/>
      </c>
      <c r="H129" s="24"/>
      <c r="I129" s="42" t="str">
        <f>IFERROR(VLOOKUP(H129,②仕入先マスタ!$A$4:$G$55,2,0),"")</f>
        <v/>
      </c>
      <c r="J129" s="24"/>
    </row>
    <row r="130" spans="1:10" ht="19.5" customHeight="1">
      <c r="A130" s="28"/>
      <c r="B130" s="38"/>
      <c r="C130" s="28"/>
      <c r="D130" s="39" t="str">
        <f>IFERROR(VLOOKUP(C130,①商品マスタ!$A$4:$I$106,2,0),"")</f>
        <v/>
      </c>
      <c r="E130" s="30"/>
      <c r="F130" s="40" t="str">
        <f>IFERROR(VLOOKUP(C130,①商品マスタ!$A$4:$I$106,4,0),"")</f>
        <v/>
      </c>
      <c r="G130" s="40" t="str">
        <f t="shared" si="3"/>
        <v/>
      </c>
      <c r="H130" s="28"/>
      <c r="I130" s="39" t="str">
        <f>IFERROR(VLOOKUP(H130,②仕入先マスタ!$A$4:$G$55,2,0),"")</f>
        <v/>
      </c>
      <c r="J130" s="28"/>
    </row>
    <row r="131" spans="1:10" ht="19.5" customHeight="1">
      <c r="A131" s="24"/>
      <c r="B131" s="41"/>
      <c r="C131" s="24"/>
      <c r="D131" s="42" t="str">
        <f>IFERROR(VLOOKUP(C131,①商品マスタ!$A$4:$I$106,2,0),"")</f>
        <v/>
      </c>
      <c r="E131" s="26"/>
      <c r="F131" s="43" t="str">
        <f>IFERROR(VLOOKUP(C131,①商品マスタ!$A$4:$I$106,4,0),"")</f>
        <v/>
      </c>
      <c r="G131" s="43" t="str">
        <f t="shared" si="3"/>
        <v/>
      </c>
      <c r="H131" s="24"/>
      <c r="I131" s="42" t="str">
        <f>IFERROR(VLOOKUP(H131,②仕入先マスタ!$A$4:$G$55,2,0),"")</f>
        <v/>
      </c>
      <c r="J131" s="24"/>
    </row>
    <row r="132" spans="1:10" ht="19.5" customHeight="1">
      <c r="A132" s="28"/>
      <c r="B132" s="38"/>
      <c r="C132" s="28"/>
      <c r="D132" s="39" t="str">
        <f>IFERROR(VLOOKUP(C132,①商品マスタ!$A$4:$I$106,2,0),"")</f>
        <v/>
      </c>
      <c r="E132" s="30"/>
      <c r="F132" s="40" t="str">
        <f>IFERROR(VLOOKUP(C132,①商品マスタ!$A$4:$I$106,4,0),"")</f>
        <v/>
      </c>
      <c r="G132" s="40" t="str">
        <f t="shared" si="3"/>
        <v/>
      </c>
      <c r="H132" s="28"/>
      <c r="I132" s="39" t="str">
        <f>IFERROR(VLOOKUP(H132,②仕入先マスタ!$A$4:$G$55,2,0),"")</f>
        <v/>
      </c>
      <c r="J132" s="28"/>
    </row>
    <row r="133" spans="1:10" ht="19.5" customHeight="1">
      <c r="A133" s="24"/>
      <c r="B133" s="41"/>
      <c r="C133" s="24"/>
      <c r="D133" s="42" t="str">
        <f>IFERROR(VLOOKUP(C133,①商品マスタ!$A$4:$I$106,2,0),"")</f>
        <v/>
      </c>
      <c r="E133" s="26"/>
      <c r="F133" s="43" t="str">
        <f>IFERROR(VLOOKUP(C133,①商品マスタ!$A$4:$I$106,4,0),"")</f>
        <v/>
      </c>
      <c r="G133" s="43" t="str">
        <f t="shared" si="3"/>
        <v/>
      </c>
      <c r="H133" s="24"/>
      <c r="I133" s="42" t="str">
        <f>IFERROR(VLOOKUP(H133,②仕入先マスタ!$A$4:$G$55,2,0),"")</f>
        <v/>
      </c>
      <c r="J133" s="24"/>
    </row>
    <row r="134" spans="1:10" ht="19.5" customHeight="1">
      <c r="A134" s="28"/>
      <c r="B134" s="38"/>
      <c r="C134" s="28"/>
      <c r="D134" s="39" t="str">
        <f>IFERROR(VLOOKUP(C134,①商品マスタ!$A$4:$I$106,2,0),"")</f>
        <v/>
      </c>
      <c r="E134" s="30"/>
      <c r="F134" s="40" t="str">
        <f>IFERROR(VLOOKUP(C134,①商品マスタ!$A$4:$I$106,4,0),"")</f>
        <v/>
      </c>
      <c r="G134" s="40" t="str">
        <f t="shared" ref="G134:G165" si="4">IFERROR(IF(AND(E134&lt;&gt;"",F134&lt;&gt;""),E134*F134,""),"")</f>
        <v/>
      </c>
      <c r="H134" s="28"/>
      <c r="I134" s="39" t="str">
        <f>IFERROR(VLOOKUP(H134,②仕入先マスタ!$A$4:$G$55,2,0),"")</f>
        <v/>
      </c>
      <c r="J134" s="28"/>
    </row>
    <row r="135" spans="1:10" ht="19.5" customHeight="1">
      <c r="A135" s="24"/>
      <c r="B135" s="41"/>
      <c r="C135" s="24"/>
      <c r="D135" s="42" t="str">
        <f>IFERROR(VLOOKUP(C135,①商品マスタ!$A$4:$I$106,2,0),"")</f>
        <v/>
      </c>
      <c r="E135" s="26"/>
      <c r="F135" s="43" t="str">
        <f>IFERROR(VLOOKUP(C135,①商品マスタ!$A$4:$I$106,4,0),"")</f>
        <v/>
      </c>
      <c r="G135" s="43" t="str">
        <f t="shared" si="4"/>
        <v/>
      </c>
      <c r="H135" s="24"/>
      <c r="I135" s="42" t="str">
        <f>IFERROR(VLOOKUP(H135,②仕入先マスタ!$A$4:$G$55,2,0),"")</f>
        <v/>
      </c>
      <c r="J135" s="24"/>
    </row>
    <row r="136" spans="1:10" ht="19.5" customHeight="1">
      <c r="A136" s="28"/>
      <c r="B136" s="38"/>
      <c r="C136" s="28"/>
      <c r="D136" s="39" t="str">
        <f>IFERROR(VLOOKUP(C136,①商品マスタ!$A$4:$I$106,2,0),"")</f>
        <v/>
      </c>
      <c r="E136" s="30"/>
      <c r="F136" s="40" t="str">
        <f>IFERROR(VLOOKUP(C136,①商品マスタ!$A$4:$I$106,4,0),"")</f>
        <v/>
      </c>
      <c r="G136" s="40" t="str">
        <f t="shared" si="4"/>
        <v/>
      </c>
      <c r="H136" s="28"/>
      <c r="I136" s="39" t="str">
        <f>IFERROR(VLOOKUP(H136,②仕入先マスタ!$A$4:$G$55,2,0),"")</f>
        <v/>
      </c>
      <c r="J136" s="28"/>
    </row>
    <row r="137" spans="1:10" ht="19.5" customHeight="1">
      <c r="A137" s="24"/>
      <c r="B137" s="41"/>
      <c r="C137" s="24"/>
      <c r="D137" s="42" t="str">
        <f>IFERROR(VLOOKUP(C137,①商品マスタ!$A$4:$I$106,2,0),"")</f>
        <v/>
      </c>
      <c r="E137" s="26"/>
      <c r="F137" s="43" t="str">
        <f>IFERROR(VLOOKUP(C137,①商品マスタ!$A$4:$I$106,4,0),"")</f>
        <v/>
      </c>
      <c r="G137" s="43" t="str">
        <f t="shared" si="4"/>
        <v/>
      </c>
      <c r="H137" s="24"/>
      <c r="I137" s="42" t="str">
        <f>IFERROR(VLOOKUP(H137,②仕入先マスタ!$A$4:$G$55,2,0),"")</f>
        <v/>
      </c>
      <c r="J137" s="24"/>
    </row>
    <row r="138" spans="1:10" ht="19.5" customHeight="1">
      <c r="A138" s="28"/>
      <c r="B138" s="38"/>
      <c r="C138" s="28"/>
      <c r="D138" s="39" t="str">
        <f>IFERROR(VLOOKUP(C138,①商品マスタ!$A$4:$I$106,2,0),"")</f>
        <v/>
      </c>
      <c r="E138" s="30"/>
      <c r="F138" s="40" t="str">
        <f>IFERROR(VLOOKUP(C138,①商品マスタ!$A$4:$I$106,4,0),"")</f>
        <v/>
      </c>
      <c r="G138" s="40" t="str">
        <f t="shared" si="4"/>
        <v/>
      </c>
      <c r="H138" s="28"/>
      <c r="I138" s="39" t="str">
        <f>IFERROR(VLOOKUP(H138,②仕入先マスタ!$A$4:$G$55,2,0),"")</f>
        <v/>
      </c>
      <c r="J138" s="28"/>
    </row>
    <row r="139" spans="1:10" ht="19.5" customHeight="1">
      <c r="A139" s="24"/>
      <c r="B139" s="41"/>
      <c r="C139" s="24"/>
      <c r="D139" s="42" t="str">
        <f>IFERROR(VLOOKUP(C139,①商品マスタ!$A$4:$I$106,2,0),"")</f>
        <v/>
      </c>
      <c r="E139" s="26"/>
      <c r="F139" s="43" t="str">
        <f>IFERROR(VLOOKUP(C139,①商品マスタ!$A$4:$I$106,4,0),"")</f>
        <v/>
      </c>
      <c r="G139" s="43" t="str">
        <f t="shared" si="4"/>
        <v/>
      </c>
      <c r="H139" s="24"/>
      <c r="I139" s="42" t="str">
        <f>IFERROR(VLOOKUP(H139,②仕入先マスタ!$A$4:$G$55,2,0),"")</f>
        <v/>
      </c>
      <c r="J139" s="24"/>
    </row>
    <row r="140" spans="1:10" ht="19.5" customHeight="1">
      <c r="A140" s="28"/>
      <c r="B140" s="38"/>
      <c r="C140" s="28"/>
      <c r="D140" s="39" t="str">
        <f>IFERROR(VLOOKUP(C140,①商品マスタ!$A$4:$I$106,2,0),"")</f>
        <v/>
      </c>
      <c r="E140" s="30"/>
      <c r="F140" s="40" t="str">
        <f>IFERROR(VLOOKUP(C140,①商品マスタ!$A$4:$I$106,4,0),"")</f>
        <v/>
      </c>
      <c r="G140" s="40" t="str">
        <f t="shared" si="4"/>
        <v/>
      </c>
      <c r="H140" s="28"/>
      <c r="I140" s="39" t="str">
        <f>IFERROR(VLOOKUP(H140,②仕入先マスタ!$A$4:$G$55,2,0),"")</f>
        <v/>
      </c>
      <c r="J140" s="28"/>
    </row>
    <row r="141" spans="1:10" ht="19.5" customHeight="1">
      <c r="A141" s="24"/>
      <c r="B141" s="41"/>
      <c r="C141" s="24"/>
      <c r="D141" s="42" t="str">
        <f>IFERROR(VLOOKUP(C141,①商品マスタ!$A$4:$I$106,2,0),"")</f>
        <v/>
      </c>
      <c r="E141" s="26"/>
      <c r="F141" s="43" t="str">
        <f>IFERROR(VLOOKUP(C141,①商品マスタ!$A$4:$I$106,4,0),"")</f>
        <v/>
      </c>
      <c r="G141" s="43" t="str">
        <f t="shared" si="4"/>
        <v/>
      </c>
      <c r="H141" s="24"/>
      <c r="I141" s="42" t="str">
        <f>IFERROR(VLOOKUP(H141,②仕入先マスタ!$A$4:$G$55,2,0),"")</f>
        <v/>
      </c>
      <c r="J141" s="24"/>
    </row>
    <row r="142" spans="1:10" ht="19.5" customHeight="1">
      <c r="A142" s="28"/>
      <c r="B142" s="38"/>
      <c r="C142" s="28"/>
      <c r="D142" s="39" t="str">
        <f>IFERROR(VLOOKUP(C142,①商品マスタ!$A$4:$I$106,2,0),"")</f>
        <v/>
      </c>
      <c r="E142" s="30"/>
      <c r="F142" s="40" t="str">
        <f>IFERROR(VLOOKUP(C142,①商品マスタ!$A$4:$I$106,4,0),"")</f>
        <v/>
      </c>
      <c r="G142" s="40" t="str">
        <f t="shared" si="4"/>
        <v/>
      </c>
      <c r="H142" s="28"/>
      <c r="I142" s="39" t="str">
        <f>IFERROR(VLOOKUP(H142,②仕入先マスタ!$A$4:$G$55,2,0),"")</f>
        <v/>
      </c>
      <c r="J142" s="28"/>
    </row>
    <row r="143" spans="1:10" ht="19.5" customHeight="1">
      <c r="A143" s="24"/>
      <c r="B143" s="41"/>
      <c r="C143" s="24"/>
      <c r="D143" s="42" t="str">
        <f>IFERROR(VLOOKUP(C143,①商品マスタ!$A$4:$I$106,2,0),"")</f>
        <v/>
      </c>
      <c r="E143" s="26"/>
      <c r="F143" s="43" t="str">
        <f>IFERROR(VLOOKUP(C143,①商品マスタ!$A$4:$I$106,4,0),"")</f>
        <v/>
      </c>
      <c r="G143" s="43" t="str">
        <f t="shared" si="4"/>
        <v/>
      </c>
      <c r="H143" s="24"/>
      <c r="I143" s="42" t="str">
        <f>IFERROR(VLOOKUP(H143,②仕入先マスタ!$A$4:$G$55,2,0),"")</f>
        <v/>
      </c>
      <c r="J143" s="24"/>
    </row>
    <row r="144" spans="1:10" ht="19.5" customHeight="1">
      <c r="A144" s="28"/>
      <c r="B144" s="38"/>
      <c r="C144" s="28"/>
      <c r="D144" s="39" t="str">
        <f>IFERROR(VLOOKUP(C144,①商品マスタ!$A$4:$I$106,2,0),"")</f>
        <v/>
      </c>
      <c r="E144" s="30"/>
      <c r="F144" s="40" t="str">
        <f>IFERROR(VLOOKUP(C144,①商品マスタ!$A$4:$I$106,4,0),"")</f>
        <v/>
      </c>
      <c r="G144" s="40" t="str">
        <f t="shared" si="4"/>
        <v/>
      </c>
      <c r="H144" s="28"/>
      <c r="I144" s="39" t="str">
        <f>IFERROR(VLOOKUP(H144,②仕入先マスタ!$A$4:$G$55,2,0),"")</f>
        <v/>
      </c>
      <c r="J144" s="28"/>
    </row>
    <row r="145" spans="1:10" ht="19.5" customHeight="1">
      <c r="A145" s="24"/>
      <c r="B145" s="41"/>
      <c r="C145" s="24"/>
      <c r="D145" s="42" t="str">
        <f>IFERROR(VLOOKUP(C145,①商品マスタ!$A$4:$I$106,2,0),"")</f>
        <v/>
      </c>
      <c r="E145" s="26"/>
      <c r="F145" s="43" t="str">
        <f>IFERROR(VLOOKUP(C145,①商品マスタ!$A$4:$I$106,4,0),"")</f>
        <v/>
      </c>
      <c r="G145" s="43" t="str">
        <f t="shared" si="4"/>
        <v/>
      </c>
      <c r="H145" s="24"/>
      <c r="I145" s="42" t="str">
        <f>IFERROR(VLOOKUP(H145,②仕入先マスタ!$A$4:$G$55,2,0),"")</f>
        <v/>
      </c>
      <c r="J145" s="24"/>
    </row>
    <row r="146" spans="1:10" ht="19.5" customHeight="1">
      <c r="A146" s="28"/>
      <c r="B146" s="38"/>
      <c r="C146" s="28"/>
      <c r="D146" s="39" t="str">
        <f>IFERROR(VLOOKUP(C146,①商品マスタ!$A$4:$I$106,2,0),"")</f>
        <v/>
      </c>
      <c r="E146" s="30"/>
      <c r="F146" s="40" t="str">
        <f>IFERROR(VLOOKUP(C146,①商品マスタ!$A$4:$I$106,4,0),"")</f>
        <v/>
      </c>
      <c r="G146" s="40" t="str">
        <f t="shared" si="4"/>
        <v/>
      </c>
      <c r="H146" s="28"/>
      <c r="I146" s="39" t="str">
        <f>IFERROR(VLOOKUP(H146,②仕入先マスタ!$A$4:$G$55,2,0),"")</f>
        <v/>
      </c>
      <c r="J146" s="28"/>
    </row>
    <row r="147" spans="1:10" ht="19.5" customHeight="1">
      <c r="A147" s="24"/>
      <c r="B147" s="41"/>
      <c r="C147" s="24"/>
      <c r="D147" s="42" t="str">
        <f>IFERROR(VLOOKUP(C147,①商品マスタ!$A$4:$I$106,2,0),"")</f>
        <v/>
      </c>
      <c r="E147" s="26"/>
      <c r="F147" s="43" t="str">
        <f>IFERROR(VLOOKUP(C147,①商品マスタ!$A$4:$I$106,4,0),"")</f>
        <v/>
      </c>
      <c r="G147" s="43" t="str">
        <f t="shared" si="4"/>
        <v/>
      </c>
      <c r="H147" s="24"/>
      <c r="I147" s="42" t="str">
        <f>IFERROR(VLOOKUP(H147,②仕入先マスタ!$A$4:$G$55,2,0),"")</f>
        <v/>
      </c>
      <c r="J147" s="24"/>
    </row>
    <row r="148" spans="1:10" ht="19.5" customHeight="1">
      <c r="A148" s="28"/>
      <c r="B148" s="38"/>
      <c r="C148" s="28"/>
      <c r="D148" s="39" t="str">
        <f>IFERROR(VLOOKUP(C148,①商品マスタ!$A$4:$I$106,2,0),"")</f>
        <v/>
      </c>
      <c r="E148" s="30"/>
      <c r="F148" s="40" t="str">
        <f>IFERROR(VLOOKUP(C148,①商品マスタ!$A$4:$I$106,4,0),"")</f>
        <v/>
      </c>
      <c r="G148" s="40" t="str">
        <f t="shared" si="4"/>
        <v/>
      </c>
      <c r="H148" s="28"/>
      <c r="I148" s="39" t="str">
        <f>IFERROR(VLOOKUP(H148,②仕入先マスタ!$A$4:$G$55,2,0),"")</f>
        <v/>
      </c>
      <c r="J148" s="28"/>
    </row>
    <row r="149" spans="1:10" ht="19.5" customHeight="1">
      <c r="A149" s="24"/>
      <c r="B149" s="41"/>
      <c r="C149" s="24"/>
      <c r="D149" s="42" t="str">
        <f>IFERROR(VLOOKUP(C149,①商品マスタ!$A$4:$I$106,2,0),"")</f>
        <v/>
      </c>
      <c r="E149" s="26"/>
      <c r="F149" s="43" t="str">
        <f>IFERROR(VLOOKUP(C149,①商品マスタ!$A$4:$I$106,4,0),"")</f>
        <v/>
      </c>
      <c r="G149" s="43" t="str">
        <f t="shared" si="4"/>
        <v/>
      </c>
      <c r="H149" s="24"/>
      <c r="I149" s="42" t="str">
        <f>IFERROR(VLOOKUP(H149,②仕入先マスタ!$A$4:$G$55,2,0),"")</f>
        <v/>
      </c>
      <c r="J149" s="24"/>
    </row>
    <row r="150" spans="1:10" ht="19.5" customHeight="1">
      <c r="A150" s="28"/>
      <c r="B150" s="38"/>
      <c r="C150" s="28"/>
      <c r="D150" s="39" t="str">
        <f>IFERROR(VLOOKUP(C150,①商品マスタ!$A$4:$I$106,2,0),"")</f>
        <v/>
      </c>
      <c r="E150" s="30"/>
      <c r="F150" s="40" t="str">
        <f>IFERROR(VLOOKUP(C150,①商品マスタ!$A$4:$I$106,4,0),"")</f>
        <v/>
      </c>
      <c r="G150" s="40" t="str">
        <f t="shared" si="4"/>
        <v/>
      </c>
      <c r="H150" s="28"/>
      <c r="I150" s="39" t="str">
        <f>IFERROR(VLOOKUP(H150,②仕入先マスタ!$A$4:$G$55,2,0),"")</f>
        <v/>
      </c>
      <c r="J150" s="28"/>
    </row>
    <row r="151" spans="1:10" ht="19.5" customHeight="1">
      <c r="A151" s="24"/>
      <c r="B151" s="41"/>
      <c r="C151" s="24"/>
      <c r="D151" s="42" t="str">
        <f>IFERROR(VLOOKUP(C151,①商品マスタ!$A$4:$I$106,2,0),"")</f>
        <v/>
      </c>
      <c r="E151" s="26"/>
      <c r="F151" s="43" t="str">
        <f>IFERROR(VLOOKUP(C151,①商品マスタ!$A$4:$I$106,4,0),"")</f>
        <v/>
      </c>
      <c r="G151" s="43" t="str">
        <f t="shared" si="4"/>
        <v/>
      </c>
      <c r="H151" s="24"/>
      <c r="I151" s="42" t="str">
        <f>IFERROR(VLOOKUP(H151,②仕入先マスタ!$A$4:$G$55,2,0),"")</f>
        <v/>
      </c>
      <c r="J151" s="24"/>
    </row>
    <row r="152" spans="1:10" ht="19.5" customHeight="1">
      <c r="A152" s="28"/>
      <c r="B152" s="38"/>
      <c r="C152" s="28"/>
      <c r="D152" s="39" t="str">
        <f>IFERROR(VLOOKUP(C152,①商品マスタ!$A$4:$I$106,2,0),"")</f>
        <v/>
      </c>
      <c r="E152" s="30"/>
      <c r="F152" s="40" t="str">
        <f>IFERROR(VLOOKUP(C152,①商品マスタ!$A$4:$I$106,4,0),"")</f>
        <v/>
      </c>
      <c r="G152" s="40" t="str">
        <f t="shared" si="4"/>
        <v/>
      </c>
      <c r="H152" s="28"/>
      <c r="I152" s="39" t="str">
        <f>IFERROR(VLOOKUP(H152,②仕入先マスタ!$A$4:$G$55,2,0),"")</f>
        <v/>
      </c>
      <c r="J152" s="28"/>
    </row>
    <row r="153" spans="1:10" ht="19.5" customHeight="1">
      <c r="A153" s="24"/>
      <c r="B153" s="41"/>
      <c r="C153" s="24"/>
      <c r="D153" s="42" t="str">
        <f>IFERROR(VLOOKUP(C153,①商品マスタ!$A$4:$I$106,2,0),"")</f>
        <v/>
      </c>
      <c r="E153" s="26"/>
      <c r="F153" s="43" t="str">
        <f>IFERROR(VLOOKUP(C153,①商品マスタ!$A$4:$I$106,4,0),"")</f>
        <v/>
      </c>
      <c r="G153" s="43" t="str">
        <f t="shared" si="4"/>
        <v/>
      </c>
      <c r="H153" s="24"/>
      <c r="I153" s="42" t="str">
        <f>IFERROR(VLOOKUP(H153,②仕入先マスタ!$A$4:$G$55,2,0),"")</f>
        <v/>
      </c>
      <c r="J153" s="24"/>
    </row>
    <row r="154" spans="1:10" ht="19.5" customHeight="1">
      <c r="A154" s="28"/>
      <c r="B154" s="38"/>
      <c r="C154" s="28"/>
      <c r="D154" s="39" t="str">
        <f>IFERROR(VLOOKUP(C154,①商品マスタ!$A$4:$I$106,2,0),"")</f>
        <v/>
      </c>
      <c r="E154" s="30"/>
      <c r="F154" s="40" t="str">
        <f>IFERROR(VLOOKUP(C154,①商品マスタ!$A$4:$I$106,4,0),"")</f>
        <v/>
      </c>
      <c r="G154" s="40" t="str">
        <f t="shared" si="4"/>
        <v/>
      </c>
      <c r="H154" s="28"/>
      <c r="I154" s="39" t="str">
        <f>IFERROR(VLOOKUP(H154,②仕入先マスタ!$A$4:$G$55,2,0),"")</f>
        <v/>
      </c>
      <c r="J154" s="28"/>
    </row>
    <row r="155" spans="1:10" ht="19.5" customHeight="1">
      <c r="A155" s="24"/>
      <c r="B155" s="41"/>
      <c r="C155" s="24"/>
      <c r="D155" s="42" t="str">
        <f>IFERROR(VLOOKUP(C155,①商品マスタ!$A$4:$I$106,2,0),"")</f>
        <v/>
      </c>
      <c r="E155" s="26"/>
      <c r="F155" s="43" t="str">
        <f>IFERROR(VLOOKUP(C155,①商品マスタ!$A$4:$I$106,4,0),"")</f>
        <v/>
      </c>
      <c r="G155" s="43" t="str">
        <f t="shared" si="4"/>
        <v/>
      </c>
      <c r="H155" s="24"/>
      <c r="I155" s="42" t="str">
        <f>IFERROR(VLOOKUP(H155,②仕入先マスタ!$A$4:$G$55,2,0),"")</f>
        <v/>
      </c>
      <c r="J155" s="24"/>
    </row>
    <row r="156" spans="1:10" ht="19.5" customHeight="1">
      <c r="A156" s="28"/>
      <c r="B156" s="38"/>
      <c r="C156" s="28"/>
      <c r="D156" s="39" t="str">
        <f>IFERROR(VLOOKUP(C156,①商品マスタ!$A$4:$I$106,2,0),"")</f>
        <v/>
      </c>
      <c r="E156" s="30"/>
      <c r="F156" s="40" t="str">
        <f>IFERROR(VLOOKUP(C156,①商品マスタ!$A$4:$I$106,4,0),"")</f>
        <v/>
      </c>
      <c r="G156" s="40" t="str">
        <f t="shared" si="4"/>
        <v/>
      </c>
      <c r="H156" s="28"/>
      <c r="I156" s="39" t="str">
        <f>IFERROR(VLOOKUP(H156,②仕入先マスタ!$A$4:$G$55,2,0),"")</f>
        <v/>
      </c>
      <c r="J156" s="28"/>
    </row>
    <row r="157" spans="1:10" ht="19.5" customHeight="1">
      <c r="A157" s="24"/>
      <c r="B157" s="41"/>
      <c r="C157" s="24"/>
      <c r="D157" s="42" t="str">
        <f>IFERROR(VLOOKUP(C157,①商品マスタ!$A$4:$I$106,2,0),"")</f>
        <v/>
      </c>
      <c r="E157" s="26"/>
      <c r="F157" s="43" t="str">
        <f>IFERROR(VLOOKUP(C157,①商品マスタ!$A$4:$I$106,4,0),"")</f>
        <v/>
      </c>
      <c r="G157" s="43" t="str">
        <f t="shared" si="4"/>
        <v/>
      </c>
      <c r="H157" s="24"/>
      <c r="I157" s="42" t="str">
        <f>IFERROR(VLOOKUP(H157,②仕入先マスタ!$A$4:$G$55,2,0),"")</f>
        <v/>
      </c>
      <c r="J157" s="24"/>
    </row>
    <row r="158" spans="1:10" ht="19.5" customHeight="1">
      <c r="A158" s="28"/>
      <c r="B158" s="38"/>
      <c r="C158" s="28"/>
      <c r="D158" s="39" t="str">
        <f>IFERROR(VLOOKUP(C158,①商品マスタ!$A$4:$I$106,2,0),"")</f>
        <v/>
      </c>
      <c r="E158" s="30"/>
      <c r="F158" s="40" t="str">
        <f>IFERROR(VLOOKUP(C158,①商品マスタ!$A$4:$I$106,4,0),"")</f>
        <v/>
      </c>
      <c r="G158" s="40" t="str">
        <f t="shared" si="4"/>
        <v/>
      </c>
      <c r="H158" s="28"/>
      <c r="I158" s="39" t="str">
        <f>IFERROR(VLOOKUP(H158,②仕入先マスタ!$A$4:$G$55,2,0),"")</f>
        <v/>
      </c>
      <c r="J158" s="28"/>
    </row>
    <row r="159" spans="1:10" ht="19.5" customHeight="1">
      <c r="A159" s="24"/>
      <c r="B159" s="41"/>
      <c r="C159" s="24"/>
      <c r="D159" s="42" t="str">
        <f>IFERROR(VLOOKUP(C159,①商品マスタ!$A$4:$I$106,2,0),"")</f>
        <v/>
      </c>
      <c r="E159" s="26"/>
      <c r="F159" s="43" t="str">
        <f>IFERROR(VLOOKUP(C159,①商品マスタ!$A$4:$I$106,4,0),"")</f>
        <v/>
      </c>
      <c r="G159" s="43" t="str">
        <f t="shared" si="4"/>
        <v/>
      </c>
      <c r="H159" s="24"/>
      <c r="I159" s="42" t="str">
        <f>IFERROR(VLOOKUP(H159,②仕入先マスタ!$A$4:$G$55,2,0),"")</f>
        <v/>
      </c>
      <c r="J159" s="24"/>
    </row>
    <row r="160" spans="1:10" ht="19.5" customHeight="1">
      <c r="A160" s="28"/>
      <c r="B160" s="38"/>
      <c r="C160" s="28"/>
      <c r="D160" s="39" t="str">
        <f>IFERROR(VLOOKUP(C160,①商品マスタ!$A$4:$I$106,2,0),"")</f>
        <v/>
      </c>
      <c r="E160" s="30"/>
      <c r="F160" s="40" t="str">
        <f>IFERROR(VLOOKUP(C160,①商品マスタ!$A$4:$I$106,4,0),"")</f>
        <v/>
      </c>
      <c r="G160" s="40" t="str">
        <f t="shared" si="4"/>
        <v/>
      </c>
      <c r="H160" s="28"/>
      <c r="I160" s="39" t="str">
        <f>IFERROR(VLOOKUP(H160,②仕入先マスタ!$A$4:$G$55,2,0),"")</f>
        <v/>
      </c>
      <c r="J160" s="28"/>
    </row>
    <row r="161" spans="1:10" ht="19.5" customHeight="1">
      <c r="A161" s="24"/>
      <c r="B161" s="41"/>
      <c r="C161" s="24"/>
      <c r="D161" s="42" t="str">
        <f>IFERROR(VLOOKUP(C161,①商品マスタ!$A$4:$I$106,2,0),"")</f>
        <v/>
      </c>
      <c r="E161" s="26"/>
      <c r="F161" s="43" t="str">
        <f>IFERROR(VLOOKUP(C161,①商品マスタ!$A$4:$I$106,4,0),"")</f>
        <v/>
      </c>
      <c r="G161" s="43" t="str">
        <f t="shared" si="4"/>
        <v/>
      </c>
      <c r="H161" s="24"/>
      <c r="I161" s="42" t="str">
        <f>IFERROR(VLOOKUP(H161,②仕入先マスタ!$A$4:$G$55,2,0),"")</f>
        <v/>
      </c>
      <c r="J161" s="24"/>
    </row>
    <row r="162" spans="1:10" ht="19.5" customHeight="1">
      <c r="A162" s="28"/>
      <c r="B162" s="38"/>
      <c r="C162" s="28"/>
      <c r="D162" s="39" t="str">
        <f>IFERROR(VLOOKUP(C162,①商品マスタ!$A$4:$I$106,2,0),"")</f>
        <v/>
      </c>
      <c r="E162" s="30"/>
      <c r="F162" s="40" t="str">
        <f>IFERROR(VLOOKUP(C162,①商品マスタ!$A$4:$I$106,4,0),"")</f>
        <v/>
      </c>
      <c r="G162" s="40" t="str">
        <f t="shared" si="4"/>
        <v/>
      </c>
      <c r="H162" s="28"/>
      <c r="I162" s="39" t="str">
        <f>IFERROR(VLOOKUP(H162,②仕入先マスタ!$A$4:$G$55,2,0),"")</f>
        <v/>
      </c>
      <c r="J162" s="28"/>
    </row>
    <row r="163" spans="1:10" ht="19.5" customHeight="1">
      <c r="A163" s="24"/>
      <c r="B163" s="41"/>
      <c r="C163" s="24"/>
      <c r="D163" s="42" t="str">
        <f>IFERROR(VLOOKUP(C163,①商品マスタ!$A$4:$I$106,2,0),"")</f>
        <v/>
      </c>
      <c r="E163" s="26"/>
      <c r="F163" s="43" t="str">
        <f>IFERROR(VLOOKUP(C163,①商品マスタ!$A$4:$I$106,4,0),"")</f>
        <v/>
      </c>
      <c r="G163" s="43" t="str">
        <f t="shared" si="4"/>
        <v/>
      </c>
      <c r="H163" s="24"/>
      <c r="I163" s="42" t="str">
        <f>IFERROR(VLOOKUP(H163,②仕入先マスタ!$A$4:$G$55,2,0),"")</f>
        <v/>
      </c>
      <c r="J163" s="24"/>
    </row>
    <row r="164" spans="1:10" ht="19.5" customHeight="1">
      <c r="A164" s="28"/>
      <c r="B164" s="38"/>
      <c r="C164" s="28"/>
      <c r="D164" s="39" t="str">
        <f>IFERROR(VLOOKUP(C164,①商品マスタ!$A$4:$I$106,2,0),"")</f>
        <v/>
      </c>
      <c r="E164" s="30"/>
      <c r="F164" s="40" t="str">
        <f>IFERROR(VLOOKUP(C164,①商品マスタ!$A$4:$I$106,4,0),"")</f>
        <v/>
      </c>
      <c r="G164" s="40" t="str">
        <f t="shared" si="4"/>
        <v/>
      </c>
      <c r="H164" s="28"/>
      <c r="I164" s="39" t="str">
        <f>IFERROR(VLOOKUP(H164,②仕入先マスタ!$A$4:$G$55,2,0),"")</f>
        <v/>
      </c>
      <c r="J164" s="28"/>
    </row>
    <row r="165" spans="1:10" ht="19.5" customHeight="1">
      <c r="A165" s="24"/>
      <c r="B165" s="41"/>
      <c r="C165" s="24"/>
      <c r="D165" s="42" t="str">
        <f>IFERROR(VLOOKUP(C165,①商品マスタ!$A$4:$I$106,2,0),"")</f>
        <v/>
      </c>
      <c r="E165" s="26"/>
      <c r="F165" s="43" t="str">
        <f>IFERROR(VLOOKUP(C165,①商品マスタ!$A$4:$I$106,4,0),"")</f>
        <v/>
      </c>
      <c r="G165" s="43" t="str">
        <f t="shared" si="4"/>
        <v/>
      </c>
      <c r="H165" s="24"/>
      <c r="I165" s="42" t="str">
        <f>IFERROR(VLOOKUP(H165,②仕入先マスタ!$A$4:$G$55,2,0),"")</f>
        <v/>
      </c>
      <c r="J165" s="24"/>
    </row>
    <row r="166" spans="1:10" ht="19.5" customHeight="1">
      <c r="A166" s="28"/>
      <c r="B166" s="38"/>
      <c r="C166" s="28"/>
      <c r="D166" s="39" t="str">
        <f>IFERROR(VLOOKUP(C166,①商品マスタ!$A$4:$I$106,2,0),"")</f>
        <v/>
      </c>
      <c r="E166" s="30"/>
      <c r="F166" s="40" t="str">
        <f>IFERROR(VLOOKUP(C166,①商品マスタ!$A$4:$I$106,4,0),"")</f>
        <v/>
      </c>
      <c r="G166" s="40" t="str">
        <f t="shared" ref="G166:G197" si="5">IFERROR(IF(AND(E166&lt;&gt;"",F166&lt;&gt;""),E166*F166,""),"")</f>
        <v/>
      </c>
      <c r="H166" s="28"/>
      <c r="I166" s="39" t="str">
        <f>IFERROR(VLOOKUP(H166,②仕入先マスタ!$A$4:$G$55,2,0),"")</f>
        <v/>
      </c>
      <c r="J166" s="28"/>
    </row>
    <row r="167" spans="1:10" ht="19.5" customHeight="1">
      <c r="A167" s="24"/>
      <c r="B167" s="41"/>
      <c r="C167" s="24"/>
      <c r="D167" s="42" t="str">
        <f>IFERROR(VLOOKUP(C167,①商品マスタ!$A$4:$I$106,2,0),"")</f>
        <v/>
      </c>
      <c r="E167" s="26"/>
      <c r="F167" s="43" t="str">
        <f>IFERROR(VLOOKUP(C167,①商品マスタ!$A$4:$I$106,4,0),"")</f>
        <v/>
      </c>
      <c r="G167" s="43" t="str">
        <f t="shared" si="5"/>
        <v/>
      </c>
      <c r="H167" s="24"/>
      <c r="I167" s="42" t="str">
        <f>IFERROR(VLOOKUP(H167,②仕入先マスタ!$A$4:$G$55,2,0),"")</f>
        <v/>
      </c>
      <c r="J167" s="24"/>
    </row>
    <row r="168" spans="1:10" ht="19.5" customHeight="1">
      <c r="A168" s="28"/>
      <c r="B168" s="38"/>
      <c r="C168" s="28"/>
      <c r="D168" s="39" t="str">
        <f>IFERROR(VLOOKUP(C168,①商品マスタ!$A$4:$I$106,2,0),"")</f>
        <v/>
      </c>
      <c r="E168" s="30"/>
      <c r="F168" s="40" t="str">
        <f>IFERROR(VLOOKUP(C168,①商品マスタ!$A$4:$I$106,4,0),"")</f>
        <v/>
      </c>
      <c r="G168" s="40" t="str">
        <f t="shared" si="5"/>
        <v/>
      </c>
      <c r="H168" s="28"/>
      <c r="I168" s="39" t="str">
        <f>IFERROR(VLOOKUP(H168,②仕入先マスタ!$A$4:$G$55,2,0),"")</f>
        <v/>
      </c>
      <c r="J168" s="28"/>
    </row>
    <row r="169" spans="1:10" ht="19.5" customHeight="1">
      <c r="A169" s="24"/>
      <c r="B169" s="41"/>
      <c r="C169" s="24"/>
      <c r="D169" s="42" t="str">
        <f>IFERROR(VLOOKUP(C169,①商品マスタ!$A$4:$I$106,2,0),"")</f>
        <v/>
      </c>
      <c r="E169" s="26"/>
      <c r="F169" s="43" t="str">
        <f>IFERROR(VLOOKUP(C169,①商品マスタ!$A$4:$I$106,4,0),"")</f>
        <v/>
      </c>
      <c r="G169" s="43" t="str">
        <f t="shared" si="5"/>
        <v/>
      </c>
      <c r="H169" s="24"/>
      <c r="I169" s="42" t="str">
        <f>IFERROR(VLOOKUP(H169,②仕入先マスタ!$A$4:$G$55,2,0),"")</f>
        <v/>
      </c>
      <c r="J169" s="24"/>
    </row>
    <row r="170" spans="1:10" ht="19.5" customHeight="1">
      <c r="A170" s="28"/>
      <c r="B170" s="38"/>
      <c r="C170" s="28"/>
      <c r="D170" s="39" t="str">
        <f>IFERROR(VLOOKUP(C170,①商品マスタ!$A$4:$I$106,2,0),"")</f>
        <v/>
      </c>
      <c r="E170" s="30"/>
      <c r="F170" s="40" t="str">
        <f>IFERROR(VLOOKUP(C170,①商品マスタ!$A$4:$I$106,4,0),"")</f>
        <v/>
      </c>
      <c r="G170" s="40" t="str">
        <f t="shared" si="5"/>
        <v/>
      </c>
      <c r="H170" s="28"/>
      <c r="I170" s="39" t="str">
        <f>IFERROR(VLOOKUP(H170,②仕入先マスタ!$A$4:$G$55,2,0),"")</f>
        <v/>
      </c>
      <c r="J170" s="28"/>
    </row>
    <row r="171" spans="1:10" ht="19.5" customHeight="1">
      <c r="A171" s="24"/>
      <c r="B171" s="41"/>
      <c r="C171" s="24"/>
      <c r="D171" s="42" t="str">
        <f>IFERROR(VLOOKUP(C171,①商品マスタ!$A$4:$I$106,2,0),"")</f>
        <v/>
      </c>
      <c r="E171" s="26"/>
      <c r="F171" s="43" t="str">
        <f>IFERROR(VLOOKUP(C171,①商品マスタ!$A$4:$I$106,4,0),"")</f>
        <v/>
      </c>
      <c r="G171" s="43" t="str">
        <f t="shared" si="5"/>
        <v/>
      </c>
      <c r="H171" s="24"/>
      <c r="I171" s="42" t="str">
        <f>IFERROR(VLOOKUP(H171,②仕入先マスタ!$A$4:$G$55,2,0),"")</f>
        <v/>
      </c>
      <c r="J171" s="24"/>
    </row>
    <row r="172" spans="1:10" ht="19.5" customHeight="1">
      <c r="A172" s="28"/>
      <c r="B172" s="38"/>
      <c r="C172" s="28"/>
      <c r="D172" s="39" t="str">
        <f>IFERROR(VLOOKUP(C172,①商品マスタ!$A$4:$I$106,2,0),"")</f>
        <v/>
      </c>
      <c r="E172" s="30"/>
      <c r="F172" s="40" t="str">
        <f>IFERROR(VLOOKUP(C172,①商品マスタ!$A$4:$I$106,4,0),"")</f>
        <v/>
      </c>
      <c r="G172" s="40" t="str">
        <f t="shared" si="5"/>
        <v/>
      </c>
      <c r="H172" s="28"/>
      <c r="I172" s="39" t="str">
        <f>IFERROR(VLOOKUP(H172,②仕入先マスタ!$A$4:$G$55,2,0),"")</f>
        <v/>
      </c>
      <c r="J172" s="28"/>
    </row>
    <row r="173" spans="1:10" ht="19.5" customHeight="1">
      <c r="A173" s="24"/>
      <c r="B173" s="41"/>
      <c r="C173" s="24"/>
      <c r="D173" s="42" t="str">
        <f>IFERROR(VLOOKUP(C173,①商品マスタ!$A$4:$I$106,2,0),"")</f>
        <v/>
      </c>
      <c r="E173" s="26"/>
      <c r="F173" s="43" t="str">
        <f>IFERROR(VLOOKUP(C173,①商品マスタ!$A$4:$I$106,4,0),"")</f>
        <v/>
      </c>
      <c r="G173" s="43" t="str">
        <f t="shared" si="5"/>
        <v/>
      </c>
      <c r="H173" s="24"/>
      <c r="I173" s="42" t="str">
        <f>IFERROR(VLOOKUP(H173,②仕入先マスタ!$A$4:$G$55,2,0),"")</f>
        <v/>
      </c>
      <c r="J173" s="24"/>
    </row>
    <row r="174" spans="1:10" ht="19.5" customHeight="1">
      <c r="A174" s="28"/>
      <c r="B174" s="38"/>
      <c r="C174" s="28"/>
      <c r="D174" s="39" t="str">
        <f>IFERROR(VLOOKUP(C174,①商品マスタ!$A$4:$I$106,2,0),"")</f>
        <v/>
      </c>
      <c r="E174" s="30"/>
      <c r="F174" s="40" t="str">
        <f>IFERROR(VLOOKUP(C174,①商品マスタ!$A$4:$I$106,4,0),"")</f>
        <v/>
      </c>
      <c r="G174" s="40" t="str">
        <f t="shared" si="5"/>
        <v/>
      </c>
      <c r="H174" s="28"/>
      <c r="I174" s="39" t="str">
        <f>IFERROR(VLOOKUP(H174,②仕入先マスタ!$A$4:$G$55,2,0),"")</f>
        <v/>
      </c>
      <c r="J174" s="28"/>
    </row>
    <row r="175" spans="1:10" ht="19.5" customHeight="1">
      <c r="A175" s="24"/>
      <c r="B175" s="41"/>
      <c r="C175" s="24"/>
      <c r="D175" s="42" t="str">
        <f>IFERROR(VLOOKUP(C175,①商品マスタ!$A$4:$I$106,2,0),"")</f>
        <v/>
      </c>
      <c r="E175" s="26"/>
      <c r="F175" s="43" t="str">
        <f>IFERROR(VLOOKUP(C175,①商品マスタ!$A$4:$I$106,4,0),"")</f>
        <v/>
      </c>
      <c r="G175" s="43" t="str">
        <f t="shared" si="5"/>
        <v/>
      </c>
      <c r="H175" s="24"/>
      <c r="I175" s="42" t="str">
        <f>IFERROR(VLOOKUP(H175,②仕入先マスタ!$A$4:$G$55,2,0),"")</f>
        <v/>
      </c>
      <c r="J175" s="24"/>
    </row>
    <row r="176" spans="1:10" ht="19.5" customHeight="1">
      <c r="A176" s="28"/>
      <c r="B176" s="38"/>
      <c r="C176" s="28"/>
      <c r="D176" s="39" t="str">
        <f>IFERROR(VLOOKUP(C176,①商品マスタ!$A$4:$I$106,2,0),"")</f>
        <v/>
      </c>
      <c r="E176" s="30"/>
      <c r="F176" s="40" t="str">
        <f>IFERROR(VLOOKUP(C176,①商品マスタ!$A$4:$I$106,4,0),"")</f>
        <v/>
      </c>
      <c r="G176" s="40" t="str">
        <f t="shared" si="5"/>
        <v/>
      </c>
      <c r="H176" s="28"/>
      <c r="I176" s="39" t="str">
        <f>IFERROR(VLOOKUP(H176,②仕入先マスタ!$A$4:$G$55,2,0),"")</f>
        <v/>
      </c>
      <c r="J176" s="28"/>
    </row>
    <row r="177" spans="1:10" ht="19.5" customHeight="1">
      <c r="A177" s="24"/>
      <c r="B177" s="41"/>
      <c r="C177" s="24"/>
      <c r="D177" s="42" t="str">
        <f>IFERROR(VLOOKUP(C177,①商品マスタ!$A$4:$I$106,2,0),"")</f>
        <v/>
      </c>
      <c r="E177" s="26"/>
      <c r="F177" s="43" t="str">
        <f>IFERROR(VLOOKUP(C177,①商品マスタ!$A$4:$I$106,4,0),"")</f>
        <v/>
      </c>
      <c r="G177" s="43" t="str">
        <f t="shared" si="5"/>
        <v/>
      </c>
      <c r="H177" s="24"/>
      <c r="I177" s="42" t="str">
        <f>IFERROR(VLOOKUP(H177,②仕入先マスタ!$A$4:$G$55,2,0),"")</f>
        <v/>
      </c>
      <c r="J177" s="24"/>
    </row>
    <row r="178" spans="1:10" ht="19.5" customHeight="1">
      <c r="A178" s="28"/>
      <c r="B178" s="38"/>
      <c r="C178" s="28"/>
      <c r="D178" s="39" t="str">
        <f>IFERROR(VLOOKUP(C178,①商品マスタ!$A$4:$I$106,2,0),"")</f>
        <v/>
      </c>
      <c r="E178" s="30"/>
      <c r="F178" s="40" t="str">
        <f>IFERROR(VLOOKUP(C178,①商品マスタ!$A$4:$I$106,4,0),"")</f>
        <v/>
      </c>
      <c r="G178" s="40" t="str">
        <f t="shared" si="5"/>
        <v/>
      </c>
      <c r="H178" s="28"/>
      <c r="I178" s="39" t="str">
        <f>IFERROR(VLOOKUP(H178,②仕入先マスタ!$A$4:$G$55,2,0),"")</f>
        <v/>
      </c>
      <c r="J178" s="28"/>
    </row>
    <row r="179" spans="1:10" ht="19.5" customHeight="1">
      <c r="A179" s="24"/>
      <c r="B179" s="41"/>
      <c r="C179" s="24"/>
      <c r="D179" s="42" t="str">
        <f>IFERROR(VLOOKUP(C179,①商品マスタ!$A$4:$I$106,2,0),"")</f>
        <v/>
      </c>
      <c r="E179" s="26"/>
      <c r="F179" s="43" t="str">
        <f>IFERROR(VLOOKUP(C179,①商品マスタ!$A$4:$I$106,4,0),"")</f>
        <v/>
      </c>
      <c r="G179" s="43" t="str">
        <f t="shared" si="5"/>
        <v/>
      </c>
      <c r="H179" s="24"/>
      <c r="I179" s="42" t="str">
        <f>IFERROR(VLOOKUP(H179,②仕入先マスタ!$A$4:$G$55,2,0),"")</f>
        <v/>
      </c>
      <c r="J179" s="24"/>
    </row>
    <row r="180" spans="1:10" ht="19.5" customHeight="1">
      <c r="A180" s="28"/>
      <c r="B180" s="38"/>
      <c r="C180" s="28"/>
      <c r="D180" s="39" t="str">
        <f>IFERROR(VLOOKUP(C180,①商品マスタ!$A$4:$I$106,2,0),"")</f>
        <v/>
      </c>
      <c r="E180" s="30"/>
      <c r="F180" s="40" t="str">
        <f>IFERROR(VLOOKUP(C180,①商品マスタ!$A$4:$I$106,4,0),"")</f>
        <v/>
      </c>
      <c r="G180" s="40" t="str">
        <f t="shared" si="5"/>
        <v/>
      </c>
      <c r="H180" s="28"/>
      <c r="I180" s="39" t="str">
        <f>IFERROR(VLOOKUP(H180,②仕入先マスタ!$A$4:$G$55,2,0),"")</f>
        <v/>
      </c>
      <c r="J180" s="28"/>
    </row>
    <row r="181" spans="1:10" ht="19.5" customHeight="1">
      <c r="A181" s="24"/>
      <c r="B181" s="41"/>
      <c r="C181" s="24"/>
      <c r="D181" s="42" t="str">
        <f>IFERROR(VLOOKUP(C181,①商品マスタ!$A$4:$I$106,2,0),"")</f>
        <v/>
      </c>
      <c r="E181" s="26"/>
      <c r="F181" s="43" t="str">
        <f>IFERROR(VLOOKUP(C181,①商品マスタ!$A$4:$I$106,4,0),"")</f>
        <v/>
      </c>
      <c r="G181" s="43" t="str">
        <f t="shared" si="5"/>
        <v/>
      </c>
      <c r="H181" s="24"/>
      <c r="I181" s="42" t="str">
        <f>IFERROR(VLOOKUP(H181,②仕入先マスタ!$A$4:$G$55,2,0),"")</f>
        <v/>
      </c>
      <c r="J181" s="24"/>
    </row>
    <row r="182" spans="1:10" ht="19.5" customHeight="1">
      <c r="A182" s="28"/>
      <c r="B182" s="38"/>
      <c r="C182" s="28"/>
      <c r="D182" s="39" t="str">
        <f>IFERROR(VLOOKUP(C182,①商品マスタ!$A$4:$I$106,2,0),"")</f>
        <v/>
      </c>
      <c r="E182" s="30"/>
      <c r="F182" s="40" t="str">
        <f>IFERROR(VLOOKUP(C182,①商品マスタ!$A$4:$I$106,4,0),"")</f>
        <v/>
      </c>
      <c r="G182" s="40" t="str">
        <f t="shared" si="5"/>
        <v/>
      </c>
      <c r="H182" s="28"/>
      <c r="I182" s="39" t="str">
        <f>IFERROR(VLOOKUP(H182,②仕入先マスタ!$A$4:$G$55,2,0),"")</f>
        <v/>
      </c>
      <c r="J182" s="28"/>
    </row>
    <row r="183" spans="1:10" ht="19.5" customHeight="1">
      <c r="A183" s="24"/>
      <c r="B183" s="41"/>
      <c r="C183" s="24"/>
      <c r="D183" s="42" t="str">
        <f>IFERROR(VLOOKUP(C183,①商品マスタ!$A$4:$I$106,2,0),"")</f>
        <v/>
      </c>
      <c r="E183" s="26"/>
      <c r="F183" s="43" t="str">
        <f>IFERROR(VLOOKUP(C183,①商品マスタ!$A$4:$I$106,4,0),"")</f>
        <v/>
      </c>
      <c r="G183" s="43" t="str">
        <f t="shared" si="5"/>
        <v/>
      </c>
      <c r="H183" s="24"/>
      <c r="I183" s="42" t="str">
        <f>IFERROR(VLOOKUP(H183,②仕入先マスタ!$A$4:$G$55,2,0),"")</f>
        <v/>
      </c>
      <c r="J183" s="24"/>
    </row>
    <row r="184" spans="1:10" ht="19.5" customHeight="1">
      <c r="A184" s="28"/>
      <c r="B184" s="38"/>
      <c r="C184" s="28"/>
      <c r="D184" s="39" t="str">
        <f>IFERROR(VLOOKUP(C184,①商品マスタ!$A$4:$I$106,2,0),"")</f>
        <v/>
      </c>
      <c r="E184" s="30"/>
      <c r="F184" s="40" t="str">
        <f>IFERROR(VLOOKUP(C184,①商品マスタ!$A$4:$I$106,4,0),"")</f>
        <v/>
      </c>
      <c r="G184" s="40" t="str">
        <f t="shared" si="5"/>
        <v/>
      </c>
      <c r="H184" s="28"/>
      <c r="I184" s="39" t="str">
        <f>IFERROR(VLOOKUP(H184,②仕入先マスタ!$A$4:$G$55,2,0),"")</f>
        <v/>
      </c>
      <c r="J184" s="28"/>
    </row>
    <row r="185" spans="1:10" ht="19.5" customHeight="1">
      <c r="A185" s="24"/>
      <c r="B185" s="41"/>
      <c r="C185" s="24"/>
      <c r="D185" s="42" t="str">
        <f>IFERROR(VLOOKUP(C185,①商品マスタ!$A$4:$I$106,2,0),"")</f>
        <v/>
      </c>
      <c r="E185" s="26"/>
      <c r="F185" s="43" t="str">
        <f>IFERROR(VLOOKUP(C185,①商品マスタ!$A$4:$I$106,4,0),"")</f>
        <v/>
      </c>
      <c r="G185" s="43" t="str">
        <f t="shared" si="5"/>
        <v/>
      </c>
      <c r="H185" s="24"/>
      <c r="I185" s="42" t="str">
        <f>IFERROR(VLOOKUP(H185,②仕入先マスタ!$A$4:$G$55,2,0),"")</f>
        <v/>
      </c>
      <c r="J185" s="24"/>
    </row>
    <row r="186" spans="1:10" ht="19.5" customHeight="1">
      <c r="A186" s="28"/>
      <c r="B186" s="38"/>
      <c r="C186" s="28"/>
      <c r="D186" s="39" t="str">
        <f>IFERROR(VLOOKUP(C186,①商品マスタ!$A$4:$I$106,2,0),"")</f>
        <v/>
      </c>
      <c r="E186" s="30"/>
      <c r="F186" s="40" t="str">
        <f>IFERROR(VLOOKUP(C186,①商品マスタ!$A$4:$I$106,4,0),"")</f>
        <v/>
      </c>
      <c r="G186" s="40" t="str">
        <f t="shared" si="5"/>
        <v/>
      </c>
      <c r="H186" s="28"/>
      <c r="I186" s="39" t="str">
        <f>IFERROR(VLOOKUP(H186,②仕入先マスタ!$A$4:$G$55,2,0),"")</f>
        <v/>
      </c>
      <c r="J186" s="28"/>
    </row>
    <row r="187" spans="1:10" ht="19.5" customHeight="1">
      <c r="A187" s="24"/>
      <c r="B187" s="41"/>
      <c r="C187" s="24"/>
      <c r="D187" s="42" t="str">
        <f>IFERROR(VLOOKUP(C187,①商品マスタ!$A$4:$I$106,2,0),"")</f>
        <v/>
      </c>
      <c r="E187" s="26"/>
      <c r="F187" s="43" t="str">
        <f>IFERROR(VLOOKUP(C187,①商品マスタ!$A$4:$I$106,4,0),"")</f>
        <v/>
      </c>
      <c r="G187" s="43" t="str">
        <f t="shared" si="5"/>
        <v/>
      </c>
      <c r="H187" s="24"/>
      <c r="I187" s="42" t="str">
        <f>IFERROR(VLOOKUP(H187,②仕入先マスタ!$A$4:$G$55,2,0),"")</f>
        <v/>
      </c>
      <c r="J187" s="24"/>
    </row>
    <row r="188" spans="1:10" ht="19.5" customHeight="1">
      <c r="A188" s="28"/>
      <c r="B188" s="38"/>
      <c r="C188" s="28"/>
      <c r="D188" s="39" t="str">
        <f>IFERROR(VLOOKUP(C188,①商品マスタ!$A$4:$I$106,2,0),"")</f>
        <v/>
      </c>
      <c r="E188" s="30"/>
      <c r="F188" s="40" t="str">
        <f>IFERROR(VLOOKUP(C188,①商品マスタ!$A$4:$I$106,4,0),"")</f>
        <v/>
      </c>
      <c r="G188" s="40" t="str">
        <f t="shared" si="5"/>
        <v/>
      </c>
      <c r="H188" s="28"/>
      <c r="I188" s="39" t="str">
        <f>IFERROR(VLOOKUP(H188,②仕入先マスタ!$A$4:$G$55,2,0),"")</f>
        <v/>
      </c>
      <c r="J188" s="28"/>
    </row>
    <row r="189" spans="1:10" ht="19.5" customHeight="1">
      <c r="A189" s="24"/>
      <c r="B189" s="41"/>
      <c r="C189" s="24"/>
      <c r="D189" s="42" t="str">
        <f>IFERROR(VLOOKUP(C189,①商品マスタ!$A$4:$I$106,2,0),"")</f>
        <v/>
      </c>
      <c r="E189" s="26"/>
      <c r="F189" s="43" t="str">
        <f>IFERROR(VLOOKUP(C189,①商品マスタ!$A$4:$I$106,4,0),"")</f>
        <v/>
      </c>
      <c r="G189" s="43" t="str">
        <f t="shared" si="5"/>
        <v/>
      </c>
      <c r="H189" s="24"/>
      <c r="I189" s="42" t="str">
        <f>IFERROR(VLOOKUP(H189,②仕入先マスタ!$A$4:$G$55,2,0),"")</f>
        <v/>
      </c>
      <c r="J189" s="24"/>
    </row>
    <row r="190" spans="1:10" ht="19.5" customHeight="1">
      <c r="A190" s="28"/>
      <c r="B190" s="38"/>
      <c r="C190" s="28"/>
      <c r="D190" s="39" t="str">
        <f>IFERROR(VLOOKUP(C190,①商品マスタ!$A$4:$I$106,2,0),"")</f>
        <v/>
      </c>
      <c r="E190" s="30"/>
      <c r="F190" s="40" t="str">
        <f>IFERROR(VLOOKUP(C190,①商品マスタ!$A$4:$I$106,4,0),"")</f>
        <v/>
      </c>
      <c r="G190" s="40" t="str">
        <f t="shared" si="5"/>
        <v/>
      </c>
      <c r="H190" s="28"/>
      <c r="I190" s="39" t="str">
        <f>IFERROR(VLOOKUP(H190,②仕入先マスタ!$A$4:$G$55,2,0),"")</f>
        <v/>
      </c>
      <c r="J190" s="28"/>
    </row>
    <row r="191" spans="1:10" ht="19.5" customHeight="1">
      <c r="A191" s="24"/>
      <c r="B191" s="41"/>
      <c r="C191" s="24"/>
      <c r="D191" s="42" t="str">
        <f>IFERROR(VLOOKUP(C191,①商品マスタ!$A$4:$I$106,2,0),"")</f>
        <v/>
      </c>
      <c r="E191" s="26"/>
      <c r="F191" s="43" t="str">
        <f>IFERROR(VLOOKUP(C191,①商品マスタ!$A$4:$I$106,4,0),"")</f>
        <v/>
      </c>
      <c r="G191" s="43" t="str">
        <f t="shared" si="5"/>
        <v/>
      </c>
      <c r="H191" s="24"/>
      <c r="I191" s="42" t="str">
        <f>IFERROR(VLOOKUP(H191,②仕入先マスタ!$A$4:$G$55,2,0),"")</f>
        <v/>
      </c>
      <c r="J191" s="24"/>
    </row>
    <row r="192" spans="1:10" ht="19.5" customHeight="1">
      <c r="A192" s="28"/>
      <c r="B192" s="38"/>
      <c r="C192" s="28"/>
      <c r="D192" s="39" t="str">
        <f>IFERROR(VLOOKUP(C192,①商品マスタ!$A$4:$I$106,2,0),"")</f>
        <v/>
      </c>
      <c r="E192" s="30"/>
      <c r="F192" s="40" t="str">
        <f>IFERROR(VLOOKUP(C192,①商品マスタ!$A$4:$I$106,4,0),"")</f>
        <v/>
      </c>
      <c r="G192" s="40" t="str">
        <f t="shared" si="5"/>
        <v/>
      </c>
      <c r="H192" s="28"/>
      <c r="I192" s="39" t="str">
        <f>IFERROR(VLOOKUP(H192,②仕入先マスタ!$A$4:$G$55,2,0),"")</f>
        <v/>
      </c>
      <c r="J192" s="28"/>
    </row>
    <row r="193" spans="1:10" ht="19.5" customHeight="1">
      <c r="A193" s="24"/>
      <c r="B193" s="41"/>
      <c r="C193" s="24"/>
      <c r="D193" s="42" t="str">
        <f>IFERROR(VLOOKUP(C193,①商品マスタ!$A$4:$I$106,2,0),"")</f>
        <v/>
      </c>
      <c r="E193" s="26"/>
      <c r="F193" s="43" t="str">
        <f>IFERROR(VLOOKUP(C193,①商品マスタ!$A$4:$I$106,4,0),"")</f>
        <v/>
      </c>
      <c r="G193" s="43" t="str">
        <f t="shared" si="5"/>
        <v/>
      </c>
      <c r="H193" s="24"/>
      <c r="I193" s="42" t="str">
        <f>IFERROR(VLOOKUP(H193,②仕入先マスタ!$A$4:$G$55,2,0),"")</f>
        <v/>
      </c>
      <c r="J193" s="24"/>
    </row>
    <row r="194" spans="1:10" ht="19.5" customHeight="1">
      <c r="A194" s="28"/>
      <c r="B194" s="38"/>
      <c r="C194" s="28"/>
      <c r="D194" s="39" t="str">
        <f>IFERROR(VLOOKUP(C194,①商品マスタ!$A$4:$I$106,2,0),"")</f>
        <v/>
      </c>
      <c r="E194" s="30"/>
      <c r="F194" s="40" t="str">
        <f>IFERROR(VLOOKUP(C194,①商品マスタ!$A$4:$I$106,4,0),"")</f>
        <v/>
      </c>
      <c r="G194" s="40" t="str">
        <f t="shared" si="5"/>
        <v/>
      </c>
      <c r="H194" s="28"/>
      <c r="I194" s="39" t="str">
        <f>IFERROR(VLOOKUP(H194,②仕入先マスタ!$A$4:$G$55,2,0),"")</f>
        <v/>
      </c>
      <c r="J194" s="28"/>
    </row>
    <row r="195" spans="1:10" ht="19.5" customHeight="1">
      <c r="A195" s="24"/>
      <c r="B195" s="41"/>
      <c r="C195" s="24"/>
      <c r="D195" s="42" t="str">
        <f>IFERROR(VLOOKUP(C195,①商品マスタ!$A$4:$I$106,2,0),"")</f>
        <v/>
      </c>
      <c r="E195" s="26"/>
      <c r="F195" s="43" t="str">
        <f>IFERROR(VLOOKUP(C195,①商品マスタ!$A$4:$I$106,4,0),"")</f>
        <v/>
      </c>
      <c r="G195" s="43" t="str">
        <f t="shared" si="5"/>
        <v/>
      </c>
      <c r="H195" s="24"/>
      <c r="I195" s="42" t="str">
        <f>IFERROR(VLOOKUP(H195,②仕入先マスタ!$A$4:$G$55,2,0),"")</f>
        <v/>
      </c>
      <c r="J195" s="24"/>
    </row>
    <row r="196" spans="1:10" ht="19.5" customHeight="1">
      <c r="A196" s="28"/>
      <c r="B196" s="38"/>
      <c r="C196" s="28"/>
      <c r="D196" s="39" t="str">
        <f>IFERROR(VLOOKUP(C196,①商品マスタ!$A$4:$I$106,2,0),"")</f>
        <v/>
      </c>
      <c r="E196" s="30"/>
      <c r="F196" s="40" t="str">
        <f>IFERROR(VLOOKUP(C196,①商品マスタ!$A$4:$I$106,4,0),"")</f>
        <v/>
      </c>
      <c r="G196" s="40" t="str">
        <f t="shared" si="5"/>
        <v/>
      </c>
      <c r="H196" s="28"/>
      <c r="I196" s="39" t="str">
        <f>IFERROR(VLOOKUP(H196,②仕入先マスタ!$A$4:$G$55,2,0),"")</f>
        <v/>
      </c>
      <c r="J196" s="28"/>
    </row>
    <row r="197" spans="1:10" ht="19.5" customHeight="1">
      <c r="A197" s="24"/>
      <c r="B197" s="41"/>
      <c r="C197" s="24"/>
      <c r="D197" s="42" t="str">
        <f>IFERROR(VLOOKUP(C197,①商品マスタ!$A$4:$I$106,2,0),"")</f>
        <v/>
      </c>
      <c r="E197" s="26"/>
      <c r="F197" s="43" t="str">
        <f>IFERROR(VLOOKUP(C197,①商品マスタ!$A$4:$I$106,4,0),"")</f>
        <v/>
      </c>
      <c r="G197" s="43" t="str">
        <f t="shared" si="5"/>
        <v/>
      </c>
      <c r="H197" s="24"/>
      <c r="I197" s="42" t="str">
        <f>IFERROR(VLOOKUP(H197,②仕入先マスタ!$A$4:$G$55,2,0),"")</f>
        <v/>
      </c>
      <c r="J197" s="24"/>
    </row>
    <row r="198" spans="1:10" ht="19.5" customHeight="1">
      <c r="A198" s="28"/>
      <c r="B198" s="38"/>
      <c r="C198" s="28"/>
      <c r="D198" s="39" t="str">
        <f>IFERROR(VLOOKUP(C198,①商品マスタ!$A$4:$I$106,2,0),"")</f>
        <v/>
      </c>
      <c r="E198" s="30"/>
      <c r="F198" s="40" t="str">
        <f>IFERROR(VLOOKUP(C198,①商品マスタ!$A$4:$I$106,4,0),"")</f>
        <v/>
      </c>
      <c r="G198" s="40" t="str">
        <f t="shared" ref="G198:G229" si="6">IFERROR(IF(AND(E198&lt;&gt;"",F198&lt;&gt;""),E198*F198,""),"")</f>
        <v/>
      </c>
      <c r="H198" s="28"/>
      <c r="I198" s="39" t="str">
        <f>IFERROR(VLOOKUP(H198,②仕入先マスタ!$A$4:$G$55,2,0),"")</f>
        <v/>
      </c>
      <c r="J198" s="28"/>
    </row>
    <row r="199" spans="1:10" ht="19.5" customHeight="1">
      <c r="A199" s="24"/>
      <c r="B199" s="41"/>
      <c r="C199" s="24"/>
      <c r="D199" s="42" t="str">
        <f>IFERROR(VLOOKUP(C199,①商品マスタ!$A$4:$I$106,2,0),"")</f>
        <v/>
      </c>
      <c r="E199" s="26"/>
      <c r="F199" s="43" t="str">
        <f>IFERROR(VLOOKUP(C199,①商品マスタ!$A$4:$I$106,4,0),"")</f>
        <v/>
      </c>
      <c r="G199" s="43" t="str">
        <f t="shared" si="6"/>
        <v/>
      </c>
      <c r="H199" s="24"/>
      <c r="I199" s="42" t="str">
        <f>IFERROR(VLOOKUP(H199,②仕入先マスタ!$A$4:$G$55,2,0),"")</f>
        <v/>
      </c>
      <c r="J199" s="24"/>
    </row>
    <row r="200" spans="1:10" ht="19.5" customHeight="1">
      <c r="A200" s="28"/>
      <c r="B200" s="38"/>
      <c r="C200" s="28"/>
      <c r="D200" s="39" t="str">
        <f>IFERROR(VLOOKUP(C200,①商品マスタ!$A$4:$I$106,2,0),"")</f>
        <v/>
      </c>
      <c r="E200" s="30"/>
      <c r="F200" s="40" t="str">
        <f>IFERROR(VLOOKUP(C200,①商品マスタ!$A$4:$I$106,4,0),"")</f>
        <v/>
      </c>
      <c r="G200" s="40" t="str">
        <f t="shared" si="6"/>
        <v/>
      </c>
      <c r="H200" s="28"/>
      <c r="I200" s="39" t="str">
        <f>IFERROR(VLOOKUP(H200,②仕入先マスタ!$A$4:$G$55,2,0),"")</f>
        <v/>
      </c>
      <c r="J200" s="28"/>
    </row>
    <row r="201" spans="1:10" ht="19.5" customHeight="1">
      <c r="A201" s="24"/>
      <c r="B201" s="41"/>
      <c r="C201" s="24"/>
      <c r="D201" s="42" t="str">
        <f>IFERROR(VLOOKUP(C201,①商品マスタ!$A$4:$I$106,2,0),"")</f>
        <v/>
      </c>
      <c r="E201" s="26"/>
      <c r="F201" s="43" t="str">
        <f>IFERROR(VLOOKUP(C201,①商品マスタ!$A$4:$I$106,4,0),"")</f>
        <v/>
      </c>
      <c r="G201" s="43" t="str">
        <f t="shared" si="6"/>
        <v/>
      </c>
      <c r="H201" s="24"/>
      <c r="I201" s="42" t="str">
        <f>IFERROR(VLOOKUP(H201,②仕入先マスタ!$A$4:$G$55,2,0),"")</f>
        <v/>
      </c>
      <c r="J201" s="24"/>
    </row>
    <row r="202" spans="1:10" ht="19.5" customHeight="1">
      <c r="A202" s="28"/>
      <c r="B202" s="38"/>
      <c r="C202" s="28"/>
      <c r="D202" s="39" t="str">
        <f>IFERROR(VLOOKUP(C202,①商品マスタ!$A$4:$I$106,2,0),"")</f>
        <v/>
      </c>
      <c r="E202" s="30"/>
      <c r="F202" s="40" t="str">
        <f>IFERROR(VLOOKUP(C202,①商品マスタ!$A$4:$I$106,4,0),"")</f>
        <v/>
      </c>
      <c r="G202" s="40" t="str">
        <f t="shared" si="6"/>
        <v/>
      </c>
      <c r="H202" s="28"/>
      <c r="I202" s="39" t="str">
        <f>IFERROR(VLOOKUP(H202,②仕入先マスタ!$A$4:$G$55,2,0),"")</f>
        <v/>
      </c>
      <c r="J202" s="28"/>
    </row>
    <row r="203" spans="1:10" ht="19.5" customHeight="1">
      <c r="A203" s="24"/>
      <c r="B203" s="41"/>
      <c r="C203" s="24"/>
      <c r="D203" s="42" t="str">
        <f>IFERROR(VLOOKUP(C203,①商品マスタ!$A$4:$I$106,2,0),"")</f>
        <v/>
      </c>
      <c r="E203" s="26"/>
      <c r="F203" s="43" t="str">
        <f>IFERROR(VLOOKUP(C203,①商品マスタ!$A$4:$I$106,4,0),"")</f>
        <v/>
      </c>
      <c r="G203" s="43" t="str">
        <f t="shared" si="6"/>
        <v/>
      </c>
      <c r="H203" s="24"/>
      <c r="I203" s="42" t="str">
        <f>IFERROR(VLOOKUP(H203,②仕入先マスタ!$A$4:$G$55,2,0),"")</f>
        <v/>
      </c>
      <c r="J203" s="24"/>
    </row>
    <row r="204" spans="1:10" ht="19.5" customHeight="1">
      <c r="A204" s="28"/>
      <c r="B204" s="38"/>
      <c r="C204" s="28"/>
      <c r="D204" s="39" t="str">
        <f>IFERROR(VLOOKUP(C204,①商品マスタ!$A$4:$I$106,2,0),"")</f>
        <v/>
      </c>
      <c r="E204" s="30"/>
      <c r="F204" s="40" t="str">
        <f>IFERROR(VLOOKUP(C204,①商品マスタ!$A$4:$I$106,4,0),"")</f>
        <v/>
      </c>
      <c r="G204" s="40" t="str">
        <f t="shared" si="6"/>
        <v/>
      </c>
      <c r="H204" s="28"/>
      <c r="I204" s="39" t="str">
        <f>IFERROR(VLOOKUP(H204,②仕入先マスタ!$A$4:$G$55,2,0),"")</f>
        <v/>
      </c>
      <c r="J204" s="28"/>
    </row>
    <row r="205" spans="1:10" ht="19.5" customHeight="1">
      <c r="A205" s="24"/>
      <c r="B205" s="41"/>
      <c r="C205" s="24"/>
      <c r="D205" s="42" t="str">
        <f>IFERROR(VLOOKUP(C205,①商品マスタ!$A$4:$I$106,2,0),"")</f>
        <v/>
      </c>
      <c r="E205" s="26"/>
      <c r="F205" s="43" t="str">
        <f>IFERROR(VLOOKUP(C205,①商品マスタ!$A$4:$I$106,4,0),"")</f>
        <v/>
      </c>
      <c r="G205" s="43" t="str">
        <f t="shared" si="6"/>
        <v/>
      </c>
      <c r="H205" s="24"/>
      <c r="I205" s="42" t="str">
        <f>IFERROR(VLOOKUP(H205,②仕入先マスタ!$A$4:$G$55,2,0),"")</f>
        <v/>
      </c>
      <c r="J205" s="24"/>
    </row>
  </sheetData>
  <mergeCells count="2">
    <mergeCell ref="A1:J1"/>
    <mergeCell ref="A2:J2"/>
  </mergeCells>
  <phoneticPr fontId="22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235"/>
  </sheetPr>
  <dimension ref="A1:J203"/>
  <sheetViews>
    <sheetView zoomScaleNormal="100" workbookViewId="0">
      <pane ySplit="3" topLeftCell="A4" activePane="bottomLeft" state="frozen"/>
      <selection pane="bottomLeft" sqref="A1:J1"/>
    </sheetView>
  </sheetViews>
  <sheetFormatPr defaultColWidth="8.6328125" defaultRowHeight="14.5"/>
  <cols>
    <col min="1" max="1" width="10" customWidth="1"/>
    <col min="2" max="2" width="13" customWidth="1"/>
    <col min="3" max="3" width="10" customWidth="1"/>
    <col min="4" max="4" width="22" customWidth="1"/>
    <col min="5" max="5" width="8" customWidth="1"/>
    <col min="6" max="7" width="16" customWidth="1"/>
    <col min="8" max="8" width="24" customWidth="1"/>
    <col min="9" max="9" width="20" customWidth="1"/>
  </cols>
  <sheetData>
    <row r="1" spans="1:10" ht="24" customHeight="1">
      <c r="A1" s="2" t="s">
        <v>89</v>
      </c>
      <c r="B1" s="2"/>
      <c r="C1" s="2"/>
      <c r="D1" s="2"/>
      <c r="E1" s="2"/>
      <c r="F1" s="2"/>
      <c r="G1" s="2"/>
      <c r="H1" s="2"/>
      <c r="I1" s="2"/>
      <c r="J1" s="2"/>
    </row>
    <row r="2" spans="1:10" ht="15.75" customHeight="1">
      <c r="A2" s="1" t="s">
        <v>90</v>
      </c>
      <c r="B2" s="1"/>
      <c r="C2" s="1"/>
      <c r="D2" s="1"/>
      <c r="E2" s="1"/>
      <c r="F2" s="1"/>
      <c r="G2" s="1"/>
      <c r="H2" s="1"/>
      <c r="I2" s="1"/>
      <c r="J2" s="1"/>
    </row>
    <row r="3" spans="1:10" ht="27.75" customHeight="1">
      <c r="A3" s="15" t="s">
        <v>91</v>
      </c>
      <c r="B3" s="15" t="s">
        <v>92</v>
      </c>
      <c r="C3" s="15" t="s">
        <v>39</v>
      </c>
      <c r="D3" s="15" t="s">
        <v>82</v>
      </c>
      <c r="E3" s="15" t="s">
        <v>83</v>
      </c>
      <c r="F3" s="15" t="s">
        <v>93</v>
      </c>
      <c r="G3" s="15" t="s">
        <v>94</v>
      </c>
      <c r="H3" s="15" t="s">
        <v>95</v>
      </c>
      <c r="I3" s="15" t="s">
        <v>47</v>
      </c>
    </row>
    <row r="4" spans="1:10" ht="19.5" customHeight="1">
      <c r="A4" s="28"/>
      <c r="B4" s="38"/>
      <c r="C4" s="28"/>
      <c r="D4" s="39" t="str">
        <f>IFERROR(VLOOKUP(C4,①商品マスタ!$A$4:$I$106,2,0),"")</f>
        <v/>
      </c>
      <c r="E4" s="30"/>
      <c r="F4" s="40" t="str">
        <f>IFERROR(VLOOKUP(C4,①商品マスタ!$A$4:$I$106,5,0),"")</f>
        <v/>
      </c>
      <c r="G4" s="40" t="str">
        <f t="shared" ref="G4:G35" si="0">IFERROR(IF(AND(E4&lt;&gt;"",F4&lt;&gt;""),E4*F4,""),"")</f>
        <v/>
      </c>
      <c r="H4" s="28"/>
      <c r="I4" s="28"/>
    </row>
    <row r="5" spans="1:10" ht="19.5" customHeight="1">
      <c r="A5" s="24"/>
      <c r="B5" s="41"/>
      <c r="C5" s="24"/>
      <c r="D5" s="42" t="str">
        <f>IFERROR(VLOOKUP(C5,①商品マスタ!$A$4:$I$106,2,0),"")</f>
        <v/>
      </c>
      <c r="E5" s="26"/>
      <c r="F5" s="43" t="str">
        <f>IFERROR(VLOOKUP(C5,①商品マスタ!$A$4:$I$106,5,0),"")</f>
        <v/>
      </c>
      <c r="G5" s="43" t="str">
        <f t="shared" si="0"/>
        <v/>
      </c>
      <c r="H5" s="24"/>
      <c r="I5" s="24"/>
    </row>
    <row r="6" spans="1:10" ht="19.5" customHeight="1">
      <c r="A6" s="28"/>
      <c r="B6" s="38"/>
      <c r="C6" s="28"/>
      <c r="D6" s="39" t="str">
        <f>IFERROR(VLOOKUP(C6,①商品マスタ!$A$4:$I$106,2,0),"")</f>
        <v/>
      </c>
      <c r="E6" s="30"/>
      <c r="F6" s="40" t="str">
        <f>IFERROR(VLOOKUP(C6,①商品マスタ!$A$4:$I$106,5,0),"")</f>
        <v/>
      </c>
      <c r="G6" s="40" t="str">
        <f t="shared" si="0"/>
        <v/>
      </c>
      <c r="H6" s="28"/>
      <c r="I6" s="28"/>
    </row>
    <row r="7" spans="1:10" ht="19.5" customHeight="1">
      <c r="A7" s="24"/>
      <c r="B7" s="41"/>
      <c r="C7" s="24"/>
      <c r="D7" s="42" t="str">
        <f>IFERROR(VLOOKUP(C7,①商品マスタ!$A$4:$I$106,2,0),"")</f>
        <v/>
      </c>
      <c r="E7" s="26"/>
      <c r="F7" s="43" t="str">
        <f>IFERROR(VLOOKUP(C7,①商品マスタ!$A$4:$I$106,5,0),"")</f>
        <v/>
      </c>
      <c r="G7" s="43" t="str">
        <f t="shared" si="0"/>
        <v/>
      </c>
      <c r="H7" s="24"/>
      <c r="I7" s="24"/>
    </row>
    <row r="8" spans="1:10" ht="19.5" customHeight="1">
      <c r="A8" s="28"/>
      <c r="B8" s="38"/>
      <c r="C8" s="28"/>
      <c r="D8" s="39" t="str">
        <f>IFERROR(VLOOKUP(C8,①商品マスタ!$A$4:$I$106,2,0),"")</f>
        <v/>
      </c>
      <c r="E8" s="30"/>
      <c r="F8" s="40" t="str">
        <f>IFERROR(VLOOKUP(C8,①商品マスタ!$A$4:$I$106,5,0),"")</f>
        <v/>
      </c>
      <c r="G8" s="40" t="str">
        <f t="shared" si="0"/>
        <v/>
      </c>
      <c r="H8" s="28"/>
      <c r="I8" s="28"/>
    </row>
    <row r="9" spans="1:10" ht="19.5" customHeight="1">
      <c r="A9" s="24"/>
      <c r="B9" s="41"/>
      <c r="C9" s="24"/>
      <c r="D9" s="42" t="str">
        <f>IFERROR(VLOOKUP(C9,①商品マスタ!$A$4:$I$106,2,0),"")</f>
        <v/>
      </c>
      <c r="E9" s="26"/>
      <c r="F9" s="43" t="str">
        <f>IFERROR(VLOOKUP(C9,①商品マスタ!$A$4:$I$106,5,0),"")</f>
        <v/>
      </c>
      <c r="G9" s="43" t="str">
        <f t="shared" si="0"/>
        <v/>
      </c>
      <c r="H9" s="24"/>
      <c r="I9" s="24"/>
    </row>
    <row r="10" spans="1:10" ht="19.5" customHeight="1">
      <c r="A10" s="28"/>
      <c r="B10" s="38"/>
      <c r="C10" s="28"/>
      <c r="D10" s="39" t="str">
        <f>IFERROR(VLOOKUP(C10,①商品マスタ!$A$4:$I$106,2,0),"")</f>
        <v/>
      </c>
      <c r="E10" s="30"/>
      <c r="F10" s="40" t="str">
        <f>IFERROR(VLOOKUP(C10,①商品マスタ!$A$4:$I$106,5,0),"")</f>
        <v/>
      </c>
      <c r="G10" s="40" t="str">
        <f t="shared" si="0"/>
        <v/>
      </c>
      <c r="H10" s="28"/>
      <c r="I10" s="28"/>
    </row>
    <row r="11" spans="1:10" ht="19.5" customHeight="1">
      <c r="A11" s="24"/>
      <c r="B11" s="41"/>
      <c r="C11" s="24"/>
      <c r="D11" s="42" t="str">
        <f>IFERROR(VLOOKUP(C11,①商品マスタ!$A$4:$I$106,2,0),"")</f>
        <v/>
      </c>
      <c r="E11" s="26"/>
      <c r="F11" s="43" t="str">
        <f>IFERROR(VLOOKUP(C11,①商品マスタ!$A$4:$I$106,5,0),"")</f>
        <v/>
      </c>
      <c r="G11" s="43" t="str">
        <f t="shared" si="0"/>
        <v/>
      </c>
      <c r="H11" s="24"/>
      <c r="I11" s="24"/>
    </row>
    <row r="12" spans="1:10" ht="19.5" customHeight="1">
      <c r="A12" s="28"/>
      <c r="B12" s="38"/>
      <c r="C12" s="28"/>
      <c r="D12" s="39" t="str">
        <f>IFERROR(VLOOKUP(C12,①商品マスタ!$A$4:$I$106,2,0),"")</f>
        <v/>
      </c>
      <c r="E12" s="30"/>
      <c r="F12" s="40" t="str">
        <f>IFERROR(VLOOKUP(C12,①商品マスタ!$A$4:$I$106,5,0),"")</f>
        <v/>
      </c>
      <c r="G12" s="40" t="str">
        <f t="shared" si="0"/>
        <v/>
      </c>
      <c r="H12" s="28"/>
      <c r="I12" s="28"/>
    </row>
    <row r="13" spans="1:10" ht="19.5" customHeight="1">
      <c r="A13" s="24"/>
      <c r="B13" s="41"/>
      <c r="C13" s="24"/>
      <c r="D13" s="42" t="str">
        <f>IFERROR(VLOOKUP(C13,①商品マスタ!$A$4:$I$106,2,0),"")</f>
        <v/>
      </c>
      <c r="E13" s="26"/>
      <c r="F13" s="43" t="str">
        <f>IFERROR(VLOOKUP(C13,①商品マスタ!$A$4:$I$106,5,0),"")</f>
        <v/>
      </c>
      <c r="G13" s="43" t="str">
        <f t="shared" si="0"/>
        <v/>
      </c>
      <c r="H13" s="24"/>
      <c r="I13" s="24"/>
    </row>
    <row r="14" spans="1:10" ht="19.5" customHeight="1">
      <c r="A14" s="28"/>
      <c r="B14" s="38"/>
      <c r="C14" s="28"/>
      <c r="D14" s="39" t="str">
        <f>IFERROR(VLOOKUP(C14,①商品マスタ!$A$4:$I$106,2,0),"")</f>
        <v/>
      </c>
      <c r="E14" s="30"/>
      <c r="F14" s="40" t="str">
        <f>IFERROR(VLOOKUP(C14,①商品マスタ!$A$4:$I$106,5,0),"")</f>
        <v/>
      </c>
      <c r="G14" s="40" t="str">
        <f t="shared" si="0"/>
        <v/>
      </c>
      <c r="H14" s="28"/>
      <c r="I14" s="28"/>
    </row>
    <row r="15" spans="1:10" ht="19.5" customHeight="1">
      <c r="A15" s="24"/>
      <c r="B15" s="41"/>
      <c r="C15" s="24"/>
      <c r="D15" s="42" t="str">
        <f>IFERROR(VLOOKUP(C15,①商品マスタ!$A$4:$I$106,2,0),"")</f>
        <v/>
      </c>
      <c r="E15" s="26"/>
      <c r="F15" s="43" t="str">
        <f>IFERROR(VLOOKUP(C15,①商品マスタ!$A$4:$I$106,5,0),"")</f>
        <v/>
      </c>
      <c r="G15" s="43" t="str">
        <f t="shared" si="0"/>
        <v/>
      </c>
      <c r="H15" s="24"/>
      <c r="I15" s="24"/>
    </row>
    <row r="16" spans="1:10" ht="19.5" customHeight="1">
      <c r="A16" s="28"/>
      <c r="B16" s="38"/>
      <c r="C16" s="28"/>
      <c r="D16" s="39" t="str">
        <f>IFERROR(VLOOKUP(C16,①商品マスタ!$A$4:$I$106,2,0),"")</f>
        <v/>
      </c>
      <c r="E16" s="30"/>
      <c r="F16" s="40" t="str">
        <f>IFERROR(VLOOKUP(C16,①商品マスタ!$A$4:$I$106,5,0),"")</f>
        <v/>
      </c>
      <c r="G16" s="40" t="str">
        <f t="shared" si="0"/>
        <v/>
      </c>
      <c r="H16" s="28"/>
      <c r="I16" s="28"/>
    </row>
    <row r="17" spans="1:9" ht="19.5" customHeight="1">
      <c r="A17" s="24"/>
      <c r="B17" s="41"/>
      <c r="C17" s="24"/>
      <c r="D17" s="42" t="str">
        <f>IFERROR(VLOOKUP(C17,①商品マスタ!$A$4:$I$106,2,0),"")</f>
        <v/>
      </c>
      <c r="E17" s="26"/>
      <c r="F17" s="43" t="str">
        <f>IFERROR(VLOOKUP(C17,①商品マスタ!$A$4:$I$106,5,0),"")</f>
        <v/>
      </c>
      <c r="G17" s="43" t="str">
        <f t="shared" si="0"/>
        <v/>
      </c>
      <c r="H17" s="24"/>
      <c r="I17" s="24"/>
    </row>
    <row r="18" spans="1:9" ht="19.5" customHeight="1">
      <c r="A18" s="28"/>
      <c r="B18" s="38"/>
      <c r="C18" s="28"/>
      <c r="D18" s="39" t="str">
        <f>IFERROR(VLOOKUP(C18,①商品マスタ!$A$4:$I$106,2,0),"")</f>
        <v/>
      </c>
      <c r="E18" s="30"/>
      <c r="F18" s="40" t="str">
        <f>IFERROR(VLOOKUP(C18,①商品マスタ!$A$4:$I$106,5,0),"")</f>
        <v/>
      </c>
      <c r="G18" s="40" t="str">
        <f t="shared" si="0"/>
        <v/>
      </c>
      <c r="H18" s="28"/>
      <c r="I18" s="28"/>
    </row>
    <row r="19" spans="1:9" ht="19.5" customHeight="1">
      <c r="A19" s="24"/>
      <c r="B19" s="41"/>
      <c r="C19" s="24"/>
      <c r="D19" s="42" t="str">
        <f>IFERROR(VLOOKUP(C19,①商品マスタ!$A$4:$I$106,2,0),"")</f>
        <v/>
      </c>
      <c r="E19" s="26"/>
      <c r="F19" s="43" t="str">
        <f>IFERROR(VLOOKUP(C19,①商品マスタ!$A$4:$I$106,5,0),"")</f>
        <v/>
      </c>
      <c r="G19" s="43" t="str">
        <f t="shared" si="0"/>
        <v/>
      </c>
      <c r="H19" s="24"/>
      <c r="I19" s="24"/>
    </row>
    <row r="20" spans="1:9" ht="19.5" customHeight="1">
      <c r="A20" s="28"/>
      <c r="B20" s="38"/>
      <c r="C20" s="28"/>
      <c r="D20" s="39" t="str">
        <f>IFERROR(VLOOKUP(C20,①商品マスタ!$A$4:$I$106,2,0),"")</f>
        <v/>
      </c>
      <c r="E20" s="30"/>
      <c r="F20" s="40" t="str">
        <f>IFERROR(VLOOKUP(C20,①商品マスタ!$A$4:$I$106,5,0),"")</f>
        <v/>
      </c>
      <c r="G20" s="40" t="str">
        <f t="shared" si="0"/>
        <v/>
      </c>
      <c r="H20" s="28"/>
      <c r="I20" s="28"/>
    </row>
    <row r="21" spans="1:9" ht="19.5" customHeight="1">
      <c r="A21" s="24"/>
      <c r="B21" s="41"/>
      <c r="C21" s="24"/>
      <c r="D21" s="42" t="str">
        <f>IFERROR(VLOOKUP(C21,①商品マスタ!$A$4:$I$106,2,0),"")</f>
        <v/>
      </c>
      <c r="E21" s="26"/>
      <c r="F21" s="43" t="str">
        <f>IFERROR(VLOOKUP(C21,①商品マスタ!$A$4:$I$106,5,0),"")</f>
        <v/>
      </c>
      <c r="G21" s="43" t="str">
        <f t="shared" si="0"/>
        <v/>
      </c>
      <c r="H21" s="24"/>
      <c r="I21" s="24"/>
    </row>
    <row r="22" spans="1:9" ht="19.5" customHeight="1">
      <c r="A22" s="28"/>
      <c r="B22" s="38"/>
      <c r="C22" s="28"/>
      <c r="D22" s="39" t="str">
        <f>IFERROR(VLOOKUP(C22,①商品マスタ!$A$4:$I$106,2,0),"")</f>
        <v/>
      </c>
      <c r="E22" s="30"/>
      <c r="F22" s="40" t="str">
        <f>IFERROR(VLOOKUP(C22,①商品マスタ!$A$4:$I$106,5,0),"")</f>
        <v/>
      </c>
      <c r="G22" s="40" t="str">
        <f t="shared" si="0"/>
        <v/>
      </c>
      <c r="H22" s="28"/>
      <c r="I22" s="28"/>
    </row>
    <row r="23" spans="1:9" ht="19.5" customHeight="1">
      <c r="A23" s="24"/>
      <c r="B23" s="41"/>
      <c r="C23" s="24"/>
      <c r="D23" s="42" t="str">
        <f>IFERROR(VLOOKUP(C23,①商品マスタ!$A$4:$I$106,2,0),"")</f>
        <v/>
      </c>
      <c r="E23" s="26"/>
      <c r="F23" s="43" t="str">
        <f>IFERROR(VLOOKUP(C23,①商品マスタ!$A$4:$I$106,5,0),"")</f>
        <v/>
      </c>
      <c r="G23" s="43" t="str">
        <f t="shared" si="0"/>
        <v/>
      </c>
      <c r="H23" s="24"/>
      <c r="I23" s="24"/>
    </row>
    <row r="24" spans="1:9" ht="19.5" customHeight="1">
      <c r="A24" s="28"/>
      <c r="B24" s="38"/>
      <c r="C24" s="28"/>
      <c r="D24" s="39" t="str">
        <f>IFERROR(VLOOKUP(C24,①商品マスタ!$A$4:$I$106,2,0),"")</f>
        <v/>
      </c>
      <c r="E24" s="30"/>
      <c r="F24" s="40" t="str">
        <f>IFERROR(VLOOKUP(C24,①商品マスタ!$A$4:$I$106,5,0),"")</f>
        <v/>
      </c>
      <c r="G24" s="40" t="str">
        <f t="shared" si="0"/>
        <v/>
      </c>
      <c r="H24" s="28"/>
      <c r="I24" s="28"/>
    </row>
    <row r="25" spans="1:9" ht="19.5" customHeight="1">
      <c r="A25" s="24"/>
      <c r="B25" s="41"/>
      <c r="C25" s="24"/>
      <c r="D25" s="42" t="str">
        <f>IFERROR(VLOOKUP(C25,①商品マスタ!$A$4:$I$106,2,0),"")</f>
        <v/>
      </c>
      <c r="E25" s="26"/>
      <c r="F25" s="43" t="str">
        <f>IFERROR(VLOOKUP(C25,①商品マスタ!$A$4:$I$106,5,0),"")</f>
        <v/>
      </c>
      <c r="G25" s="43" t="str">
        <f t="shared" si="0"/>
        <v/>
      </c>
      <c r="H25" s="24"/>
      <c r="I25" s="24"/>
    </row>
    <row r="26" spans="1:9" ht="19.5" customHeight="1">
      <c r="A26" s="28"/>
      <c r="B26" s="38"/>
      <c r="C26" s="28"/>
      <c r="D26" s="39" t="str">
        <f>IFERROR(VLOOKUP(C26,①商品マスタ!$A$4:$I$106,2,0),"")</f>
        <v/>
      </c>
      <c r="E26" s="30"/>
      <c r="F26" s="40" t="str">
        <f>IFERROR(VLOOKUP(C26,①商品マスタ!$A$4:$I$106,5,0),"")</f>
        <v/>
      </c>
      <c r="G26" s="40" t="str">
        <f t="shared" si="0"/>
        <v/>
      </c>
      <c r="H26" s="28"/>
      <c r="I26" s="28"/>
    </row>
    <row r="27" spans="1:9" ht="19.5" customHeight="1">
      <c r="A27" s="24"/>
      <c r="B27" s="41"/>
      <c r="C27" s="24"/>
      <c r="D27" s="42" t="str">
        <f>IFERROR(VLOOKUP(C27,①商品マスタ!$A$4:$I$106,2,0),"")</f>
        <v/>
      </c>
      <c r="E27" s="26"/>
      <c r="F27" s="43" t="str">
        <f>IFERROR(VLOOKUP(C27,①商品マスタ!$A$4:$I$106,5,0),"")</f>
        <v/>
      </c>
      <c r="G27" s="43" t="str">
        <f t="shared" si="0"/>
        <v/>
      </c>
      <c r="H27" s="24"/>
      <c r="I27" s="24"/>
    </row>
    <row r="28" spans="1:9" ht="19.5" customHeight="1">
      <c r="A28" s="28"/>
      <c r="B28" s="38"/>
      <c r="C28" s="28"/>
      <c r="D28" s="39" t="str">
        <f>IFERROR(VLOOKUP(C28,①商品マスタ!$A$4:$I$106,2,0),"")</f>
        <v/>
      </c>
      <c r="E28" s="30"/>
      <c r="F28" s="40" t="str">
        <f>IFERROR(VLOOKUP(C28,①商品マスタ!$A$4:$I$106,5,0),"")</f>
        <v/>
      </c>
      <c r="G28" s="40" t="str">
        <f t="shared" si="0"/>
        <v/>
      </c>
      <c r="H28" s="28"/>
      <c r="I28" s="28"/>
    </row>
    <row r="29" spans="1:9" ht="19.5" customHeight="1">
      <c r="A29" s="24"/>
      <c r="B29" s="41"/>
      <c r="C29" s="24"/>
      <c r="D29" s="42" t="str">
        <f>IFERROR(VLOOKUP(C29,①商品マスタ!$A$4:$I$106,2,0),"")</f>
        <v/>
      </c>
      <c r="E29" s="26"/>
      <c r="F29" s="43" t="str">
        <f>IFERROR(VLOOKUP(C29,①商品マスタ!$A$4:$I$106,5,0),"")</f>
        <v/>
      </c>
      <c r="G29" s="43" t="str">
        <f t="shared" si="0"/>
        <v/>
      </c>
      <c r="H29" s="24"/>
      <c r="I29" s="24"/>
    </row>
    <row r="30" spans="1:9" ht="19.5" customHeight="1">
      <c r="A30" s="28"/>
      <c r="B30" s="38"/>
      <c r="C30" s="28"/>
      <c r="D30" s="39" t="str">
        <f>IFERROR(VLOOKUP(C30,①商品マスタ!$A$4:$I$106,2,0),"")</f>
        <v/>
      </c>
      <c r="E30" s="30"/>
      <c r="F30" s="40" t="str">
        <f>IFERROR(VLOOKUP(C30,①商品マスタ!$A$4:$I$106,5,0),"")</f>
        <v/>
      </c>
      <c r="G30" s="40" t="str">
        <f t="shared" si="0"/>
        <v/>
      </c>
      <c r="H30" s="28"/>
      <c r="I30" s="28"/>
    </row>
    <row r="31" spans="1:9" ht="19.5" customHeight="1">
      <c r="A31" s="24"/>
      <c r="B31" s="41"/>
      <c r="C31" s="24"/>
      <c r="D31" s="42" t="str">
        <f>IFERROR(VLOOKUP(C31,①商品マスタ!$A$4:$I$106,2,0),"")</f>
        <v/>
      </c>
      <c r="E31" s="26"/>
      <c r="F31" s="43" t="str">
        <f>IFERROR(VLOOKUP(C31,①商品マスタ!$A$4:$I$106,5,0),"")</f>
        <v/>
      </c>
      <c r="G31" s="43" t="str">
        <f t="shared" si="0"/>
        <v/>
      </c>
      <c r="H31" s="24"/>
      <c r="I31" s="24"/>
    </row>
    <row r="32" spans="1:9" ht="19.5" customHeight="1">
      <c r="A32" s="28"/>
      <c r="B32" s="38"/>
      <c r="C32" s="28"/>
      <c r="D32" s="39" t="str">
        <f>IFERROR(VLOOKUP(C32,①商品マスタ!$A$4:$I$106,2,0),"")</f>
        <v/>
      </c>
      <c r="E32" s="30"/>
      <c r="F32" s="40" t="str">
        <f>IFERROR(VLOOKUP(C32,①商品マスタ!$A$4:$I$106,5,0),"")</f>
        <v/>
      </c>
      <c r="G32" s="40" t="str">
        <f t="shared" si="0"/>
        <v/>
      </c>
      <c r="H32" s="28"/>
      <c r="I32" s="28"/>
    </row>
    <row r="33" spans="1:9" ht="19.5" customHeight="1">
      <c r="A33" s="24"/>
      <c r="B33" s="41"/>
      <c r="C33" s="24"/>
      <c r="D33" s="42" t="str">
        <f>IFERROR(VLOOKUP(C33,①商品マスタ!$A$4:$I$106,2,0),"")</f>
        <v/>
      </c>
      <c r="E33" s="26"/>
      <c r="F33" s="43" t="str">
        <f>IFERROR(VLOOKUP(C33,①商品マスタ!$A$4:$I$106,5,0),"")</f>
        <v/>
      </c>
      <c r="G33" s="43" t="str">
        <f t="shared" si="0"/>
        <v/>
      </c>
      <c r="H33" s="24"/>
      <c r="I33" s="24"/>
    </row>
    <row r="34" spans="1:9" ht="19.5" customHeight="1">
      <c r="A34" s="28"/>
      <c r="B34" s="38"/>
      <c r="C34" s="28"/>
      <c r="D34" s="39" t="str">
        <f>IFERROR(VLOOKUP(C34,①商品マスタ!$A$4:$I$106,2,0),"")</f>
        <v/>
      </c>
      <c r="E34" s="30"/>
      <c r="F34" s="40" t="str">
        <f>IFERROR(VLOOKUP(C34,①商品マスタ!$A$4:$I$106,5,0),"")</f>
        <v/>
      </c>
      <c r="G34" s="40" t="str">
        <f t="shared" si="0"/>
        <v/>
      </c>
      <c r="H34" s="28"/>
      <c r="I34" s="28"/>
    </row>
    <row r="35" spans="1:9" ht="19.5" customHeight="1">
      <c r="A35" s="24"/>
      <c r="B35" s="41"/>
      <c r="C35" s="24"/>
      <c r="D35" s="42" t="str">
        <f>IFERROR(VLOOKUP(C35,①商品マスタ!$A$4:$I$106,2,0),"")</f>
        <v/>
      </c>
      <c r="E35" s="26"/>
      <c r="F35" s="43" t="str">
        <f>IFERROR(VLOOKUP(C35,①商品マスタ!$A$4:$I$106,5,0),"")</f>
        <v/>
      </c>
      <c r="G35" s="43" t="str">
        <f t="shared" si="0"/>
        <v/>
      </c>
      <c r="H35" s="24"/>
      <c r="I35" s="24"/>
    </row>
    <row r="36" spans="1:9" ht="19.5" customHeight="1">
      <c r="A36" s="28"/>
      <c r="B36" s="38"/>
      <c r="C36" s="28"/>
      <c r="D36" s="39" t="str">
        <f>IFERROR(VLOOKUP(C36,①商品マスタ!$A$4:$I$106,2,0),"")</f>
        <v/>
      </c>
      <c r="E36" s="30"/>
      <c r="F36" s="40" t="str">
        <f>IFERROR(VLOOKUP(C36,①商品マスタ!$A$4:$I$106,5,0),"")</f>
        <v/>
      </c>
      <c r="G36" s="40" t="str">
        <f t="shared" ref="G36:G67" si="1">IFERROR(IF(AND(E36&lt;&gt;"",F36&lt;&gt;""),E36*F36,""),"")</f>
        <v/>
      </c>
      <c r="H36" s="28"/>
      <c r="I36" s="28"/>
    </row>
    <row r="37" spans="1:9" ht="19.5" customHeight="1">
      <c r="A37" s="24"/>
      <c r="B37" s="41"/>
      <c r="C37" s="24"/>
      <c r="D37" s="42" t="str">
        <f>IFERROR(VLOOKUP(C37,①商品マスタ!$A$4:$I$106,2,0),"")</f>
        <v/>
      </c>
      <c r="E37" s="26"/>
      <c r="F37" s="43" t="str">
        <f>IFERROR(VLOOKUP(C37,①商品マスタ!$A$4:$I$106,5,0),"")</f>
        <v/>
      </c>
      <c r="G37" s="43" t="str">
        <f t="shared" si="1"/>
        <v/>
      </c>
      <c r="H37" s="24"/>
      <c r="I37" s="24"/>
    </row>
    <row r="38" spans="1:9" ht="19.5" customHeight="1">
      <c r="A38" s="28"/>
      <c r="B38" s="38"/>
      <c r="C38" s="28"/>
      <c r="D38" s="39" t="str">
        <f>IFERROR(VLOOKUP(C38,①商品マスタ!$A$4:$I$106,2,0),"")</f>
        <v/>
      </c>
      <c r="E38" s="30"/>
      <c r="F38" s="40" t="str">
        <f>IFERROR(VLOOKUP(C38,①商品マスタ!$A$4:$I$106,5,0),"")</f>
        <v/>
      </c>
      <c r="G38" s="40" t="str">
        <f t="shared" si="1"/>
        <v/>
      </c>
      <c r="H38" s="28"/>
      <c r="I38" s="28"/>
    </row>
    <row r="39" spans="1:9" ht="19.5" customHeight="1">
      <c r="A39" s="24"/>
      <c r="B39" s="41"/>
      <c r="C39" s="24"/>
      <c r="D39" s="42" t="str">
        <f>IFERROR(VLOOKUP(C39,①商品マスタ!$A$4:$I$106,2,0),"")</f>
        <v/>
      </c>
      <c r="E39" s="26"/>
      <c r="F39" s="43" t="str">
        <f>IFERROR(VLOOKUP(C39,①商品マスタ!$A$4:$I$106,5,0),"")</f>
        <v/>
      </c>
      <c r="G39" s="43" t="str">
        <f t="shared" si="1"/>
        <v/>
      </c>
      <c r="H39" s="24"/>
      <c r="I39" s="24"/>
    </row>
    <row r="40" spans="1:9" ht="19.5" customHeight="1">
      <c r="A40" s="28"/>
      <c r="B40" s="38"/>
      <c r="C40" s="28"/>
      <c r="D40" s="39" t="str">
        <f>IFERROR(VLOOKUP(C40,①商品マスタ!$A$4:$I$106,2,0),"")</f>
        <v/>
      </c>
      <c r="E40" s="30"/>
      <c r="F40" s="40" t="str">
        <f>IFERROR(VLOOKUP(C40,①商品マスタ!$A$4:$I$106,5,0),"")</f>
        <v/>
      </c>
      <c r="G40" s="40" t="str">
        <f t="shared" si="1"/>
        <v/>
      </c>
      <c r="H40" s="28"/>
      <c r="I40" s="28"/>
    </row>
    <row r="41" spans="1:9" ht="19.5" customHeight="1">
      <c r="A41" s="24"/>
      <c r="B41" s="41"/>
      <c r="C41" s="24"/>
      <c r="D41" s="42" t="str">
        <f>IFERROR(VLOOKUP(C41,①商品マスタ!$A$4:$I$106,2,0),"")</f>
        <v/>
      </c>
      <c r="E41" s="26"/>
      <c r="F41" s="43" t="str">
        <f>IFERROR(VLOOKUP(C41,①商品マスタ!$A$4:$I$106,5,0),"")</f>
        <v/>
      </c>
      <c r="G41" s="43" t="str">
        <f t="shared" si="1"/>
        <v/>
      </c>
      <c r="H41" s="24"/>
      <c r="I41" s="24"/>
    </row>
    <row r="42" spans="1:9" ht="19.5" customHeight="1">
      <c r="A42" s="28"/>
      <c r="B42" s="38"/>
      <c r="C42" s="28"/>
      <c r="D42" s="39" t="str">
        <f>IFERROR(VLOOKUP(C42,①商品マスタ!$A$4:$I$106,2,0),"")</f>
        <v/>
      </c>
      <c r="E42" s="30"/>
      <c r="F42" s="40" t="str">
        <f>IFERROR(VLOOKUP(C42,①商品マスタ!$A$4:$I$106,5,0),"")</f>
        <v/>
      </c>
      <c r="G42" s="40" t="str">
        <f t="shared" si="1"/>
        <v/>
      </c>
      <c r="H42" s="28"/>
      <c r="I42" s="28"/>
    </row>
    <row r="43" spans="1:9" ht="19.5" customHeight="1">
      <c r="A43" s="24"/>
      <c r="B43" s="41"/>
      <c r="C43" s="24"/>
      <c r="D43" s="42" t="str">
        <f>IFERROR(VLOOKUP(C43,①商品マスタ!$A$4:$I$106,2,0),"")</f>
        <v/>
      </c>
      <c r="E43" s="26"/>
      <c r="F43" s="43" t="str">
        <f>IFERROR(VLOOKUP(C43,①商品マスタ!$A$4:$I$106,5,0),"")</f>
        <v/>
      </c>
      <c r="G43" s="43" t="str">
        <f t="shared" si="1"/>
        <v/>
      </c>
      <c r="H43" s="24"/>
      <c r="I43" s="24"/>
    </row>
    <row r="44" spans="1:9" ht="19.5" customHeight="1">
      <c r="A44" s="28"/>
      <c r="B44" s="38"/>
      <c r="C44" s="28"/>
      <c r="D44" s="39" t="str">
        <f>IFERROR(VLOOKUP(C44,①商品マスタ!$A$4:$I$106,2,0),"")</f>
        <v/>
      </c>
      <c r="E44" s="30"/>
      <c r="F44" s="40" t="str">
        <f>IFERROR(VLOOKUP(C44,①商品マスタ!$A$4:$I$106,5,0),"")</f>
        <v/>
      </c>
      <c r="G44" s="40" t="str">
        <f t="shared" si="1"/>
        <v/>
      </c>
      <c r="H44" s="28"/>
      <c r="I44" s="28"/>
    </row>
    <row r="45" spans="1:9" ht="19.5" customHeight="1">
      <c r="A45" s="24"/>
      <c r="B45" s="41"/>
      <c r="C45" s="24"/>
      <c r="D45" s="42" t="str">
        <f>IFERROR(VLOOKUP(C45,①商品マスタ!$A$4:$I$106,2,0),"")</f>
        <v/>
      </c>
      <c r="E45" s="26"/>
      <c r="F45" s="43" t="str">
        <f>IFERROR(VLOOKUP(C45,①商品マスタ!$A$4:$I$106,5,0),"")</f>
        <v/>
      </c>
      <c r="G45" s="43" t="str">
        <f t="shared" si="1"/>
        <v/>
      </c>
      <c r="H45" s="24"/>
      <c r="I45" s="24"/>
    </row>
    <row r="46" spans="1:9" ht="19.5" customHeight="1">
      <c r="A46" s="28"/>
      <c r="B46" s="38"/>
      <c r="C46" s="28"/>
      <c r="D46" s="39" t="str">
        <f>IFERROR(VLOOKUP(C46,①商品マスタ!$A$4:$I$106,2,0),"")</f>
        <v/>
      </c>
      <c r="E46" s="30"/>
      <c r="F46" s="40" t="str">
        <f>IFERROR(VLOOKUP(C46,①商品マスタ!$A$4:$I$106,5,0),"")</f>
        <v/>
      </c>
      <c r="G46" s="40" t="str">
        <f t="shared" si="1"/>
        <v/>
      </c>
      <c r="H46" s="28"/>
      <c r="I46" s="28"/>
    </row>
    <row r="47" spans="1:9" ht="19.5" customHeight="1">
      <c r="A47" s="24"/>
      <c r="B47" s="41"/>
      <c r="C47" s="24"/>
      <c r="D47" s="42" t="str">
        <f>IFERROR(VLOOKUP(C47,①商品マスタ!$A$4:$I$106,2,0),"")</f>
        <v/>
      </c>
      <c r="E47" s="26"/>
      <c r="F47" s="43" t="str">
        <f>IFERROR(VLOOKUP(C47,①商品マスタ!$A$4:$I$106,5,0),"")</f>
        <v/>
      </c>
      <c r="G47" s="43" t="str">
        <f t="shared" si="1"/>
        <v/>
      </c>
      <c r="H47" s="24"/>
      <c r="I47" s="24"/>
    </row>
    <row r="48" spans="1:9" ht="19.5" customHeight="1">
      <c r="A48" s="28"/>
      <c r="B48" s="38"/>
      <c r="C48" s="28"/>
      <c r="D48" s="39" t="str">
        <f>IFERROR(VLOOKUP(C48,①商品マスタ!$A$4:$I$106,2,0),"")</f>
        <v/>
      </c>
      <c r="E48" s="30"/>
      <c r="F48" s="40" t="str">
        <f>IFERROR(VLOOKUP(C48,①商品マスタ!$A$4:$I$106,5,0),"")</f>
        <v/>
      </c>
      <c r="G48" s="40" t="str">
        <f t="shared" si="1"/>
        <v/>
      </c>
      <c r="H48" s="28"/>
      <c r="I48" s="28"/>
    </row>
    <row r="49" spans="1:9" ht="19.5" customHeight="1">
      <c r="A49" s="24"/>
      <c r="B49" s="41"/>
      <c r="C49" s="24"/>
      <c r="D49" s="42" t="str">
        <f>IFERROR(VLOOKUP(C49,①商品マスタ!$A$4:$I$106,2,0),"")</f>
        <v/>
      </c>
      <c r="E49" s="26"/>
      <c r="F49" s="43" t="str">
        <f>IFERROR(VLOOKUP(C49,①商品マスタ!$A$4:$I$106,5,0),"")</f>
        <v/>
      </c>
      <c r="G49" s="43" t="str">
        <f t="shared" si="1"/>
        <v/>
      </c>
      <c r="H49" s="24"/>
      <c r="I49" s="24"/>
    </row>
    <row r="50" spans="1:9" ht="19.5" customHeight="1">
      <c r="A50" s="28"/>
      <c r="B50" s="38"/>
      <c r="C50" s="28"/>
      <c r="D50" s="39" t="str">
        <f>IFERROR(VLOOKUP(C50,①商品マスタ!$A$4:$I$106,2,0),"")</f>
        <v/>
      </c>
      <c r="E50" s="30"/>
      <c r="F50" s="40" t="str">
        <f>IFERROR(VLOOKUP(C50,①商品マスタ!$A$4:$I$106,5,0),"")</f>
        <v/>
      </c>
      <c r="G50" s="40" t="str">
        <f t="shared" si="1"/>
        <v/>
      </c>
      <c r="H50" s="28"/>
      <c r="I50" s="28"/>
    </row>
    <row r="51" spans="1:9" ht="19.5" customHeight="1">
      <c r="A51" s="24"/>
      <c r="B51" s="41"/>
      <c r="C51" s="24"/>
      <c r="D51" s="42" t="str">
        <f>IFERROR(VLOOKUP(C51,①商品マスタ!$A$4:$I$106,2,0),"")</f>
        <v/>
      </c>
      <c r="E51" s="26"/>
      <c r="F51" s="43" t="str">
        <f>IFERROR(VLOOKUP(C51,①商品マスタ!$A$4:$I$106,5,0),"")</f>
        <v/>
      </c>
      <c r="G51" s="43" t="str">
        <f t="shared" si="1"/>
        <v/>
      </c>
      <c r="H51" s="24"/>
      <c r="I51" s="24"/>
    </row>
    <row r="52" spans="1:9" ht="19.5" customHeight="1">
      <c r="A52" s="28"/>
      <c r="B52" s="38"/>
      <c r="C52" s="28"/>
      <c r="D52" s="39" t="str">
        <f>IFERROR(VLOOKUP(C52,①商品マスタ!$A$4:$I$106,2,0),"")</f>
        <v/>
      </c>
      <c r="E52" s="30"/>
      <c r="F52" s="40" t="str">
        <f>IFERROR(VLOOKUP(C52,①商品マスタ!$A$4:$I$106,5,0),"")</f>
        <v/>
      </c>
      <c r="G52" s="40" t="str">
        <f t="shared" si="1"/>
        <v/>
      </c>
      <c r="H52" s="28"/>
      <c r="I52" s="28"/>
    </row>
    <row r="53" spans="1:9" ht="19.5" customHeight="1">
      <c r="A53" s="24"/>
      <c r="B53" s="41"/>
      <c r="C53" s="24"/>
      <c r="D53" s="42" t="str">
        <f>IFERROR(VLOOKUP(C53,①商品マスタ!$A$4:$I$106,2,0),"")</f>
        <v/>
      </c>
      <c r="E53" s="26"/>
      <c r="F53" s="43" t="str">
        <f>IFERROR(VLOOKUP(C53,①商品マスタ!$A$4:$I$106,5,0),"")</f>
        <v/>
      </c>
      <c r="G53" s="43" t="str">
        <f t="shared" si="1"/>
        <v/>
      </c>
      <c r="H53" s="24"/>
      <c r="I53" s="24"/>
    </row>
    <row r="54" spans="1:9" ht="19.5" customHeight="1">
      <c r="A54" s="28"/>
      <c r="B54" s="38"/>
      <c r="C54" s="28"/>
      <c r="D54" s="39" t="str">
        <f>IFERROR(VLOOKUP(C54,①商品マスタ!$A$4:$I$106,2,0),"")</f>
        <v/>
      </c>
      <c r="E54" s="30"/>
      <c r="F54" s="40" t="str">
        <f>IFERROR(VLOOKUP(C54,①商品マスタ!$A$4:$I$106,5,0),"")</f>
        <v/>
      </c>
      <c r="G54" s="40" t="str">
        <f t="shared" si="1"/>
        <v/>
      </c>
      <c r="H54" s="28"/>
      <c r="I54" s="28"/>
    </row>
    <row r="55" spans="1:9" ht="19.5" customHeight="1">
      <c r="A55" s="24"/>
      <c r="B55" s="41"/>
      <c r="C55" s="24"/>
      <c r="D55" s="42" t="str">
        <f>IFERROR(VLOOKUP(C55,①商品マスタ!$A$4:$I$106,2,0),"")</f>
        <v/>
      </c>
      <c r="E55" s="26"/>
      <c r="F55" s="43" t="str">
        <f>IFERROR(VLOOKUP(C55,①商品マスタ!$A$4:$I$106,5,0),"")</f>
        <v/>
      </c>
      <c r="G55" s="43" t="str">
        <f t="shared" si="1"/>
        <v/>
      </c>
      <c r="H55" s="24"/>
      <c r="I55" s="24"/>
    </row>
    <row r="56" spans="1:9" ht="19.5" customHeight="1">
      <c r="A56" s="28"/>
      <c r="B56" s="38"/>
      <c r="C56" s="28"/>
      <c r="D56" s="39" t="str">
        <f>IFERROR(VLOOKUP(C56,①商品マスタ!$A$4:$I$106,2,0),"")</f>
        <v/>
      </c>
      <c r="E56" s="30"/>
      <c r="F56" s="40" t="str">
        <f>IFERROR(VLOOKUP(C56,①商品マスタ!$A$4:$I$106,5,0),"")</f>
        <v/>
      </c>
      <c r="G56" s="40" t="str">
        <f t="shared" si="1"/>
        <v/>
      </c>
      <c r="H56" s="28"/>
      <c r="I56" s="28"/>
    </row>
    <row r="57" spans="1:9" ht="19.5" customHeight="1">
      <c r="A57" s="24"/>
      <c r="B57" s="41"/>
      <c r="C57" s="24"/>
      <c r="D57" s="42" t="str">
        <f>IFERROR(VLOOKUP(C57,①商品マスタ!$A$4:$I$106,2,0),"")</f>
        <v/>
      </c>
      <c r="E57" s="26"/>
      <c r="F57" s="43" t="str">
        <f>IFERROR(VLOOKUP(C57,①商品マスタ!$A$4:$I$106,5,0),"")</f>
        <v/>
      </c>
      <c r="G57" s="43" t="str">
        <f t="shared" si="1"/>
        <v/>
      </c>
      <c r="H57" s="24"/>
      <c r="I57" s="24"/>
    </row>
    <row r="58" spans="1:9" ht="19.5" customHeight="1">
      <c r="A58" s="28"/>
      <c r="B58" s="38"/>
      <c r="C58" s="28"/>
      <c r="D58" s="39" t="str">
        <f>IFERROR(VLOOKUP(C58,①商品マスタ!$A$4:$I$106,2,0),"")</f>
        <v/>
      </c>
      <c r="E58" s="30"/>
      <c r="F58" s="40" t="str">
        <f>IFERROR(VLOOKUP(C58,①商品マスタ!$A$4:$I$106,5,0),"")</f>
        <v/>
      </c>
      <c r="G58" s="40" t="str">
        <f t="shared" si="1"/>
        <v/>
      </c>
      <c r="H58" s="28"/>
      <c r="I58" s="28"/>
    </row>
    <row r="59" spans="1:9" ht="19.5" customHeight="1">
      <c r="A59" s="24"/>
      <c r="B59" s="41"/>
      <c r="C59" s="24"/>
      <c r="D59" s="42" t="str">
        <f>IFERROR(VLOOKUP(C59,①商品マスタ!$A$4:$I$106,2,0),"")</f>
        <v/>
      </c>
      <c r="E59" s="26"/>
      <c r="F59" s="43" t="str">
        <f>IFERROR(VLOOKUP(C59,①商品マスタ!$A$4:$I$106,5,0),"")</f>
        <v/>
      </c>
      <c r="G59" s="43" t="str">
        <f t="shared" si="1"/>
        <v/>
      </c>
      <c r="H59" s="24"/>
      <c r="I59" s="24"/>
    </row>
    <row r="60" spans="1:9" ht="19.5" customHeight="1">
      <c r="A60" s="28"/>
      <c r="B60" s="38"/>
      <c r="C60" s="28"/>
      <c r="D60" s="39" t="str">
        <f>IFERROR(VLOOKUP(C60,①商品マスタ!$A$4:$I$106,2,0),"")</f>
        <v/>
      </c>
      <c r="E60" s="30"/>
      <c r="F60" s="40" t="str">
        <f>IFERROR(VLOOKUP(C60,①商品マスタ!$A$4:$I$106,5,0),"")</f>
        <v/>
      </c>
      <c r="G60" s="40" t="str">
        <f t="shared" si="1"/>
        <v/>
      </c>
      <c r="H60" s="28"/>
      <c r="I60" s="28"/>
    </row>
    <row r="61" spans="1:9" ht="19.5" customHeight="1">
      <c r="A61" s="24"/>
      <c r="B61" s="41"/>
      <c r="C61" s="24"/>
      <c r="D61" s="42" t="str">
        <f>IFERROR(VLOOKUP(C61,①商品マスタ!$A$4:$I$106,2,0),"")</f>
        <v/>
      </c>
      <c r="E61" s="26"/>
      <c r="F61" s="43" t="str">
        <f>IFERROR(VLOOKUP(C61,①商品マスタ!$A$4:$I$106,5,0),"")</f>
        <v/>
      </c>
      <c r="G61" s="43" t="str">
        <f t="shared" si="1"/>
        <v/>
      </c>
      <c r="H61" s="24"/>
      <c r="I61" s="24"/>
    </row>
    <row r="62" spans="1:9" ht="19.5" customHeight="1">
      <c r="A62" s="28"/>
      <c r="B62" s="38"/>
      <c r="C62" s="28"/>
      <c r="D62" s="39" t="str">
        <f>IFERROR(VLOOKUP(C62,①商品マスタ!$A$4:$I$106,2,0),"")</f>
        <v/>
      </c>
      <c r="E62" s="30"/>
      <c r="F62" s="40" t="str">
        <f>IFERROR(VLOOKUP(C62,①商品マスタ!$A$4:$I$106,5,0),"")</f>
        <v/>
      </c>
      <c r="G62" s="40" t="str">
        <f t="shared" si="1"/>
        <v/>
      </c>
      <c r="H62" s="28"/>
      <c r="I62" s="28"/>
    </row>
    <row r="63" spans="1:9" ht="19.5" customHeight="1">
      <c r="A63" s="24"/>
      <c r="B63" s="41"/>
      <c r="C63" s="24"/>
      <c r="D63" s="42" t="str">
        <f>IFERROR(VLOOKUP(C63,①商品マスタ!$A$4:$I$106,2,0),"")</f>
        <v/>
      </c>
      <c r="E63" s="26"/>
      <c r="F63" s="43" t="str">
        <f>IFERROR(VLOOKUP(C63,①商品マスタ!$A$4:$I$106,5,0),"")</f>
        <v/>
      </c>
      <c r="G63" s="43" t="str">
        <f t="shared" si="1"/>
        <v/>
      </c>
      <c r="H63" s="24"/>
      <c r="I63" s="24"/>
    </row>
    <row r="64" spans="1:9" ht="19.5" customHeight="1">
      <c r="A64" s="28"/>
      <c r="B64" s="38"/>
      <c r="C64" s="28"/>
      <c r="D64" s="39" t="str">
        <f>IFERROR(VLOOKUP(C64,①商品マスタ!$A$4:$I$106,2,0),"")</f>
        <v/>
      </c>
      <c r="E64" s="30"/>
      <c r="F64" s="40" t="str">
        <f>IFERROR(VLOOKUP(C64,①商品マスタ!$A$4:$I$106,5,0),"")</f>
        <v/>
      </c>
      <c r="G64" s="40" t="str">
        <f t="shared" si="1"/>
        <v/>
      </c>
      <c r="H64" s="28"/>
      <c r="I64" s="28"/>
    </row>
    <row r="65" spans="1:9" ht="19.5" customHeight="1">
      <c r="A65" s="24"/>
      <c r="B65" s="41"/>
      <c r="C65" s="24"/>
      <c r="D65" s="42" t="str">
        <f>IFERROR(VLOOKUP(C65,①商品マスタ!$A$4:$I$106,2,0),"")</f>
        <v/>
      </c>
      <c r="E65" s="26"/>
      <c r="F65" s="43" t="str">
        <f>IFERROR(VLOOKUP(C65,①商品マスタ!$A$4:$I$106,5,0),"")</f>
        <v/>
      </c>
      <c r="G65" s="43" t="str">
        <f t="shared" si="1"/>
        <v/>
      </c>
      <c r="H65" s="24"/>
      <c r="I65" s="24"/>
    </row>
    <row r="66" spans="1:9" ht="19.5" customHeight="1">
      <c r="A66" s="28"/>
      <c r="B66" s="38"/>
      <c r="C66" s="28"/>
      <c r="D66" s="39" t="str">
        <f>IFERROR(VLOOKUP(C66,①商品マスタ!$A$4:$I$106,2,0),"")</f>
        <v/>
      </c>
      <c r="E66" s="30"/>
      <c r="F66" s="40" t="str">
        <f>IFERROR(VLOOKUP(C66,①商品マスタ!$A$4:$I$106,5,0),"")</f>
        <v/>
      </c>
      <c r="G66" s="40" t="str">
        <f t="shared" si="1"/>
        <v/>
      </c>
      <c r="H66" s="28"/>
      <c r="I66" s="28"/>
    </row>
    <row r="67" spans="1:9" ht="19.5" customHeight="1">
      <c r="A67" s="24"/>
      <c r="B67" s="41"/>
      <c r="C67" s="24"/>
      <c r="D67" s="42" t="str">
        <f>IFERROR(VLOOKUP(C67,①商品マスタ!$A$4:$I$106,2,0),"")</f>
        <v/>
      </c>
      <c r="E67" s="26"/>
      <c r="F67" s="43" t="str">
        <f>IFERROR(VLOOKUP(C67,①商品マスタ!$A$4:$I$106,5,0),"")</f>
        <v/>
      </c>
      <c r="G67" s="43" t="str">
        <f t="shared" si="1"/>
        <v/>
      </c>
      <c r="H67" s="24"/>
      <c r="I67" s="24"/>
    </row>
    <row r="68" spans="1:9" ht="19.5" customHeight="1">
      <c r="A68" s="28"/>
      <c r="B68" s="38"/>
      <c r="C68" s="28"/>
      <c r="D68" s="39" t="str">
        <f>IFERROR(VLOOKUP(C68,①商品マスタ!$A$4:$I$106,2,0),"")</f>
        <v/>
      </c>
      <c r="E68" s="30"/>
      <c r="F68" s="40" t="str">
        <f>IFERROR(VLOOKUP(C68,①商品マスタ!$A$4:$I$106,5,0),"")</f>
        <v/>
      </c>
      <c r="G68" s="40" t="str">
        <f t="shared" ref="G68:G99" si="2">IFERROR(IF(AND(E68&lt;&gt;"",F68&lt;&gt;""),E68*F68,""),"")</f>
        <v/>
      </c>
      <c r="H68" s="28"/>
      <c r="I68" s="28"/>
    </row>
    <row r="69" spans="1:9" ht="19.5" customHeight="1">
      <c r="A69" s="24"/>
      <c r="B69" s="41"/>
      <c r="C69" s="24"/>
      <c r="D69" s="42" t="str">
        <f>IFERROR(VLOOKUP(C69,①商品マスタ!$A$4:$I$106,2,0),"")</f>
        <v/>
      </c>
      <c r="E69" s="26"/>
      <c r="F69" s="43" t="str">
        <f>IFERROR(VLOOKUP(C69,①商品マスタ!$A$4:$I$106,5,0),"")</f>
        <v/>
      </c>
      <c r="G69" s="43" t="str">
        <f t="shared" si="2"/>
        <v/>
      </c>
      <c r="H69" s="24"/>
      <c r="I69" s="24"/>
    </row>
    <row r="70" spans="1:9" ht="19.5" customHeight="1">
      <c r="A70" s="28"/>
      <c r="B70" s="38"/>
      <c r="C70" s="28"/>
      <c r="D70" s="39" t="str">
        <f>IFERROR(VLOOKUP(C70,①商品マスタ!$A$4:$I$106,2,0),"")</f>
        <v/>
      </c>
      <c r="E70" s="30"/>
      <c r="F70" s="40" t="str">
        <f>IFERROR(VLOOKUP(C70,①商品マスタ!$A$4:$I$106,5,0),"")</f>
        <v/>
      </c>
      <c r="G70" s="40" t="str">
        <f t="shared" si="2"/>
        <v/>
      </c>
      <c r="H70" s="28"/>
      <c r="I70" s="28"/>
    </row>
    <row r="71" spans="1:9" ht="19.5" customHeight="1">
      <c r="A71" s="24"/>
      <c r="B71" s="41"/>
      <c r="C71" s="24"/>
      <c r="D71" s="42" t="str">
        <f>IFERROR(VLOOKUP(C71,①商品マスタ!$A$4:$I$106,2,0),"")</f>
        <v/>
      </c>
      <c r="E71" s="26"/>
      <c r="F71" s="43" t="str">
        <f>IFERROR(VLOOKUP(C71,①商品マスタ!$A$4:$I$106,5,0),"")</f>
        <v/>
      </c>
      <c r="G71" s="43" t="str">
        <f t="shared" si="2"/>
        <v/>
      </c>
      <c r="H71" s="24"/>
      <c r="I71" s="24"/>
    </row>
    <row r="72" spans="1:9" ht="19.5" customHeight="1">
      <c r="A72" s="28"/>
      <c r="B72" s="38"/>
      <c r="C72" s="28"/>
      <c r="D72" s="39" t="str">
        <f>IFERROR(VLOOKUP(C72,①商品マスタ!$A$4:$I$106,2,0),"")</f>
        <v/>
      </c>
      <c r="E72" s="30"/>
      <c r="F72" s="40" t="str">
        <f>IFERROR(VLOOKUP(C72,①商品マスタ!$A$4:$I$106,5,0),"")</f>
        <v/>
      </c>
      <c r="G72" s="40" t="str">
        <f t="shared" si="2"/>
        <v/>
      </c>
      <c r="H72" s="28"/>
      <c r="I72" s="28"/>
    </row>
    <row r="73" spans="1:9" ht="19.5" customHeight="1">
      <c r="A73" s="24"/>
      <c r="B73" s="41"/>
      <c r="C73" s="24"/>
      <c r="D73" s="42" t="str">
        <f>IFERROR(VLOOKUP(C73,①商品マスタ!$A$4:$I$106,2,0),"")</f>
        <v/>
      </c>
      <c r="E73" s="26"/>
      <c r="F73" s="43" t="str">
        <f>IFERROR(VLOOKUP(C73,①商品マスタ!$A$4:$I$106,5,0),"")</f>
        <v/>
      </c>
      <c r="G73" s="43" t="str">
        <f t="shared" si="2"/>
        <v/>
      </c>
      <c r="H73" s="24"/>
      <c r="I73" s="24"/>
    </row>
    <row r="74" spans="1:9" ht="19.5" customHeight="1">
      <c r="A74" s="28"/>
      <c r="B74" s="38"/>
      <c r="C74" s="28"/>
      <c r="D74" s="39" t="str">
        <f>IFERROR(VLOOKUP(C74,①商品マスタ!$A$4:$I$106,2,0),"")</f>
        <v/>
      </c>
      <c r="E74" s="30"/>
      <c r="F74" s="40" t="str">
        <f>IFERROR(VLOOKUP(C74,①商品マスタ!$A$4:$I$106,5,0),"")</f>
        <v/>
      </c>
      <c r="G74" s="40" t="str">
        <f t="shared" si="2"/>
        <v/>
      </c>
      <c r="H74" s="28"/>
      <c r="I74" s="28"/>
    </row>
    <row r="75" spans="1:9" ht="19.5" customHeight="1">
      <c r="A75" s="24"/>
      <c r="B75" s="41"/>
      <c r="C75" s="24"/>
      <c r="D75" s="42" t="str">
        <f>IFERROR(VLOOKUP(C75,①商品マスタ!$A$4:$I$106,2,0),"")</f>
        <v/>
      </c>
      <c r="E75" s="26"/>
      <c r="F75" s="43" t="str">
        <f>IFERROR(VLOOKUP(C75,①商品マスタ!$A$4:$I$106,5,0),"")</f>
        <v/>
      </c>
      <c r="G75" s="43" t="str">
        <f t="shared" si="2"/>
        <v/>
      </c>
      <c r="H75" s="24"/>
      <c r="I75" s="24"/>
    </row>
    <row r="76" spans="1:9" ht="19.5" customHeight="1">
      <c r="A76" s="28"/>
      <c r="B76" s="38"/>
      <c r="C76" s="28"/>
      <c r="D76" s="39" t="str">
        <f>IFERROR(VLOOKUP(C76,①商品マスタ!$A$4:$I$106,2,0),"")</f>
        <v/>
      </c>
      <c r="E76" s="30"/>
      <c r="F76" s="40" t="str">
        <f>IFERROR(VLOOKUP(C76,①商品マスタ!$A$4:$I$106,5,0),"")</f>
        <v/>
      </c>
      <c r="G76" s="40" t="str">
        <f t="shared" si="2"/>
        <v/>
      </c>
      <c r="H76" s="28"/>
      <c r="I76" s="28"/>
    </row>
    <row r="77" spans="1:9" ht="19.5" customHeight="1">
      <c r="A77" s="24"/>
      <c r="B77" s="41"/>
      <c r="C77" s="24"/>
      <c r="D77" s="42" t="str">
        <f>IFERROR(VLOOKUP(C77,①商品マスタ!$A$4:$I$106,2,0),"")</f>
        <v/>
      </c>
      <c r="E77" s="26"/>
      <c r="F77" s="43" t="str">
        <f>IFERROR(VLOOKUP(C77,①商品マスタ!$A$4:$I$106,5,0),"")</f>
        <v/>
      </c>
      <c r="G77" s="43" t="str">
        <f t="shared" si="2"/>
        <v/>
      </c>
      <c r="H77" s="24"/>
      <c r="I77" s="24"/>
    </row>
    <row r="78" spans="1:9" ht="19.5" customHeight="1">
      <c r="A78" s="28"/>
      <c r="B78" s="38"/>
      <c r="C78" s="28"/>
      <c r="D78" s="39" t="str">
        <f>IFERROR(VLOOKUP(C78,①商品マスタ!$A$4:$I$106,2,0),"")</f>
        <v/>
      </c>
      <c r="E78" s="30"/>
      <c r="F78" s="40" t="str">
        <f>IFERROR(VLOOKUP(C78,①商品マスタ!$A$4:$I$106,5,0),"")</f>
        <v/>
      </c>
      <c r="G78" s="40" t="str">
        <f t="shared" si="2"/>
        <v/>
      </c>
      <c r="H78" s="28"/>
      <c r="I78" s="28"/>
    </row>
    <row r="79" spans="1:9" ht="19.5" customHeight="1">
      <c r="A79" s="24"/>
      <c r="B79" s="41"/>
      <c r="C79" s="24"/>
      <c r="D79" s="42" t="str">
        <f>IFERROR(VLOOKUP(C79,①商品マスタ!$A$4:$I$106,2,0),"")</f>
        <v/>
      </c>
      <c r="E79" s="26"/>
      <c r="F79" s="43" t="str">
        <f>IFERROR(VLOOKUP(C79,①商品マスタ!$A$4:$I$106,5,0),"")</f>
        <v/>
      </c>
      <c r="G79" s="43" t="str">
        <f t="shared" si="2"/>
        <v/>
      </c>
      <c r="H79" s="24"/>
      <c r="I79" s="24"/>
    </row>
    <row r="80" spans="1:9" ht="19.5" customHeight="1">
      <c r="A80" s="28"/>
      <c r="B80" s="38"/>
      <c r="C80" s="28"/>
      <c r="D80" s="39" t="str">
        <f>IFERROR(VLOOKUP(C80,①商品マスタ!$A$4:$I$106,2,0),"")</f>
        <v/>
      </c>
      <c r="E80" s="30"/>
      <c r="F80" s="40" t="str">
        <f>IFERROR(VLOOKUP(C80,①商品マスタ!$A$4:$I$106,5,0),"")</f>
        <v/>
      </c>
      <c r="G80" s="40" t="str">
        <f t="shared" si="2"/>
        <v/>
      </c>
      <c r="H80" s="28"/>
      <c r="I80" s="28"/>
    </row>
    <row r="81" spans="1:9" ht="19.5" customHeight="1">
      <c r="A81" s="24"/>
      <c r="B81" s="41"/>
      <c r="C81" s="24"/>
      <c r="D81" s="42" t="str">
        <f>IFERROR(VLOOKUP(C81,①商品マスタ!$A$4:$I$106,2,0),"")</f>
        <v/>
      </c>
      <c r="E81" s="26"/>
      <c r="F81" s="43" t="str">
        <f>IFERROR(VLOOKUP(C81,①商品マスタ!$A$4:$I$106,5,0),"")</f>
        <v/>
      </c>
      <c r="G81" s="43" t="str">
        <f t="shared" si="2"/>
        <v/>
      </c>
      <c r="H81" s="24"/>
      <c r="I81" s="24"/>
    </row>
    <row r="82" spans="1:9" ht="19.5" customHeight="1">
      <c r="A82" s="28"/>
      <c r="B82" s="38"/>
      <c r="C82" s="28"/>
      <c r="D82" s="39" t="str">
        <f>IFERROR(VLOOKUP(C82,①商品マスタ!$A$4:$I$106,2,0),"")</f>
        <v/>
      </c>
      <c r="E82" s="30"/>
      <c r="F82" s="40" t="str">
        <f>IFERROR(VLOOKUP(C82,①商品マスタ!$A$4:$I$106,5,0),"")</f>
        <v/>
      </c>
      <c r="G82" s="40" t="str">
        <f t="shared" si="2"/>
        <v/>
      </c>
      <c r="H82" s="28"/>
      <c r="I82" s="28"/>
    </row>
    <row r="83" spans="1:9" ht="19.5" customHeight="1">
      <c r="A83" s="24"/>
      <c r="B83" s="41"/>
      <c r="C83" s="24"/>
      <c r="D83" s="42" t="str">
        <f>IFERROR(VLOOKUP(C83,①商品マスタ!$A$4:$I$106,2,0),"")</f>
        <v/>
      </c>
      <c r="E83" s="26"/>
      <c r="F83" s="43" t="str">
        <f>IFERROR(VLOOKUP(C83,①商品マスタ!$A$4:$I$106,5,0),"")</f>
        <v/>
      </c>
      <c r="G83" s="43" t="str">
        <f t="shared" si="2"/>
        <v/>
      </c>
      <c r="H83" s="24"/>
      <c r="I83" s="24"/>
    </row>
    <row r="84" spans="1:9" ht="19.5" customHeight="1">
      <c r="A84" s="28"/>
      <c r="B84" s="38"/>
      <c r="C84" s="28"/>
      <c r="D84" s="39" t="str">
        <f>IFERROR(VLOOKUP(C84,①商品マスタ!$A$4:$I$106,2,0),"")</f>
        <v/>
      </c>
      <c r="E84" s="30"/>
      <c r="F84" s="40" t="str">
        <f>IFERROR(VLOOKUP(C84,①商品マスタ!$A$4:$I$106,5,0),"")</f>
        <v/>
      </c>
      <c r="G84" s="40" t="str">
        <f t="shared" si="2"/>
        <v/>
      </c>
      <c r="H84" s="28"/>
      <c r="I84" s="28"/>
    </row>
    <row r="85" spans="1:9" ht="19.5" customHeight="1">
      <c r="A85" s="24"/>
      <c r="B85" s="41"/>
      <c r="C85" s="24"/>
      <c r="D85" s="42" t="str">
        <f>IFERROR(VLOOKUP(C85,①商品マスタ!$A$4:$I$106,2,0),"")</f>
        <v/>
      </c>
      <c r="E85" s="26"/>
      <c r="F85" s="43" t="str">
        <f>IFERROR(VLOOKUP(C85,①商品マスタ!$A$4:$I$106,5,0),"")</f>
        <v/>
      </c>
      <c r="G85" s="43" t="str">
        <f t="shared" si="2"/>
        <v/>
      </c>
      <c r="H85" s="24"/>
      <c r="I85" s="24"/>
    </row>
    <row r="86" spans="1:9" ht="19.5" customHeight="1">
      <c r="A86" s="28"/>
      <c r="B86" s="38"/>
      <c r="C86" s="28"/>
      <c r="D86" s="39" t="str">
        <f>IFERROR(VLOOKUP(C86,①商品マスタ!$A$4:$I$106,2,0),"")</f>
        <v/>
      </c>
      <c r="E86" s="30"/>
      <c r="F86" s="40" t="str">
        <f>IFERROR(VLOOKUP(C86,①商品マスタ!$A$4:$I$106,5,0),"")</f>
        <v/>
      </c>
      <c r="G86" s="40" t="str">
        <f t="shared" si="2"/>
        <v/>
      </c>
      <c r="H86" s="28"/>
      <c r="I86" s="28"/>
    </row>
    <row r="87" spans="1:9" ht="19.5" customHeight="1">
      <c r="A87" s="24"/>
      <c r="B87" s="41"/>
      <c r="C87" s="24"/>
      <c r="D87" s="42" t="str">
        <f>IFERROR(VLOOKUP(C87,①商品マスタ!$A$4:$I$106,2,0),"")</f>
        <v/>
      </c>
      <c r="E87" s="26"/>
      <c r="F87" s="43" t="str">
        <f>IFERROR(VLOOKUP(C87,①商品マスタ!$A$4:$I$106,5,0),"")</f>
        <v/>
      </c>
      <c r="G87" s="43" t="str">
        <f t="shared" si="2"/>
        <v/>
      </c>
      <c r="H87" s="24"/>
      <c r="I87" s="24"/>
    </row>
    <row r="88" spans="1:9" ht="19.5" customHeight="1">
      <c r="A88" s="28"/>
      <c r="B88" s="38"/>
      <c r="C88" s="28"/>
      <c r="D88" s="39" t="str">
        <f>IFERROR(VLOOKUP(C88,①商品マスタ!$A$4:$I$106,2,0),"")</f>
        <v/>
      </c>
      <c r="E88" s="30"/>
      <c r="F88" s="40" t="str">
        <f>IFERROR(VLOOKUP(C88,①商品マスタ!$A$4:$I$106,5,0),"")</f>
        <v/>
      </c>
      <c r="G88" s="40" t="str">
        <f t="shared" si="2"/>
        <v/>
      </c>
      <c r="H88" s="28"/>
      <c r="I88" s="28"/>
    </row>
    <row r="89" spans="1:9" ht="19.5" customHeight="1">
      <c r="A89" s="24"/>
      <c r="B89" s="41"/>
      <c r="C89" s="24"/>
      <c r="D89" s="42" t="str">
        <f>IFERROR(VLOOKUP(C89,①商品マスタ!$A$4:$I$106,2,0),"")</f>
        <v/>
      </c>
      <c r="E89" s="26"/>
      <c r="F89" s="43" t="str">
        <f>IFERROR(VLOOKUP(C89,①商品マスタ!$A$4:$I$106,5,0),"")</f>
        <v/>
      </c>
      <c r="G89" s="43" t="str">
        <f t="shared" si="2"/>
        <v/>
      </c>
      <c r="H89" s="24"/>
      <c r="I89" s="24"/>
    </row>
    <row r="90" spans="1:9" ht="19.5" customHeight="1">
      <c r="A90" s="28"/>
      <c r="B90" s="38"/>
      <c r="C90" s="28"/>
      <c r="D90" s="39" t="str">
        <f>IFERROR(VLOOKUP(C90,①商品マスタ!$A$4:$I$106,2,0),"")</f>
        <v/>
      </c>
      <c r="E90" s="30"/>
      <c r="F90" s="40" t="str">
        <f>IFERROR(VLOOKUP(C90,①商品マスタ!$A$4:$I$106,5,0),"")</f>
        <v/>
      </c>
      <c r="G90" s="40" t="str">
        <f t="shared" si="2"/>
        <v/>
      </c>
      <c r="H90" s="28"/>
      <c r="I90" s="28"/>
    </row>
    <row r="91" spans="1:9" ht="19.5" customHeight="1">
      <c r="A91" s="24"/>
      <c r="B91" s="41"/>
      <c r="C91" s="24"/>
      <c r="D91" s="42" t="str">
        <f>IFERROR(VLOOKUP(C91,①商品マスタ!$A$4:$I$106,2,0),"")</f>
        <v/>
      </c>
      <c r="E91" s="26"/>
      <c r="F91" s="43" t="str">
        <f>IFERROR(VLOOKUP(C91,①商品マスタ!$A$4:$I$106,5,0),"")</f>
        <v/>
      </c>
      <c r="G91" s="43" t="str">
        <f t="shared" si="2"/>
        <v/>
      </c>
      <c r="H91" s="24"/>
      <c r="I91" s="24"/>
    </row>
    <row r="92" spans="1:9" ht="19.5" customHeight="1">
      <c r="A92" s="28"/>
      <c r="B92" s="38"/>
      <c r="C92" s="28"/>
      <c r="D92" s="39" t="str">
        <f>IFERROR(VLOOKUP(C92,①商品マスタ!$A$4:$I$106,2,0),"")</f>
        <v/>
      </c>
      <c r="E92" s="30"/>
      <c r="F92" s="40" t="str">
        <f>IFERROR(VLOOKUP(C92,①商品マスタ!$A$4:$I$106,5,0),"")</f>
        <v/>
      </c>
      <c r="G92" s="40" t="str">
        <f t="shared" si="2"/>
        <v/>
      </c>
      <c r="H92" s="28"/>
      <c r="I92" s="28"/>
    </row>
    <row r="93" spans="1:9" ht="19.5" customHeight="1">
      <c r="A93" s="24"/>
      <c r="B93" s="41"/>
      <c r="C93" s="24"/>
      <c r="D93" s="42" t="str">
        <f>IFERROR(VLOOKUP(C93,①商品マスタ!$A$4:$I$106,2,0),"")</f>
        <v/>
      </c>
      <c r="E93" s="26"/>
      <c r="F93" s="43" t="str">
        <f>IFERROR(VLOOKUP(C93,①商品マスタ!$A$4:$I$106,5,0),"")</f>
        <v/>
      </c>
      <c r="G93" s="43" t="str">
        <f t="shared" si="2"/>
        <v/>
      </c>
      <c r="H93" s="24"/>
      <c r="I93" s="24"/>
    </row>
    <row r="94" spans="1:9" ht="19.5" customHeight="1">
      <c r="A94" s="28"/>
      <c r="B94" s="38"/>
      <c r="C94" s="28"/>
      <c r="D94" s="39" t="str">
        <f>IFERROR(VLOOKUP(C94,①商品マスタ!$A$4:$I$106,2,0),"")</f>
        <v/>
      </c>
      <c r="E94" s="30"/>
      <c r="F94" s="40" t="str">
        <f>IFERROR(VLOOKUP(C94,①商品マスタ!$A$4:$I$106,5,0),"")</f>
        <v/>
      </c>
      <c r="G94" s="40" t="str">
        <f t="shared" si="2"/>
        <v/>
      </c>
      <c r="H94" s="28"/>
      <c r="I94" s="28"/>
    </row>
    <row r="95" spans="1:9" ht="19.5" customHeight="1">
      <c r="A95" s="24"/>
      <c r="B95" s="41"/>
      <c r="C95" s="24"/>
      <c r="D95" s="42" t="str">
        <f>IFERROR(VLOOKUP(C95,①商品マスタ!$A$4:$I$106,2,0),"")</f>
        <v/>
      </c>
      <c r="E95" s="26"/>
      <c r="F95" s="43" t="str">
        <f>IFERROR(VLOOKUP(C95,①商品マスタ!$A$4:$I$106,5,0),"")</f>
        <v/>
      </c>
      <c r="G95" s="43" t="str">
        <f t="shared" si="2"/>
        <v/>
      </c>
      <c r="H95" s="24"/>
      <c r="I95" s="24"/>
    </row>
    <row r="96" spans="1:9" ht="19.5" customHeight="1">
      <c r="A96" s="28"/>
      <c r="B96" s="38"/>
      <c r="C96" s="28"/>
      <c r="D96" s="39" t="str">
        <f>IFERROR(VLOOKUP(C96,①商品マスタ!$A$4:$I$106,2,0),"")</f>
        <v/>
      </c>
      <c r="E96" s="30"/>
      <c r="F96" s="40" t="str">
        <f>IFERROR(VLOOKUP(C96,①商品マスタ!$A$4:$I$106,5,0),"")</f>
        <v/>
      </c>
      <c r="G96" s="40" t="str">
        <f t="shared" si="2"/>
        <v/>
      </c>
      <c r="H96" s="28"/>
      <c r="I96" s="28"/>
    </row>
    <row r="97" spans="1:9" ht="19.5" customHeight="1">
      <c r="A97" s="24"/>
      <c r="B97" s="41"/>
      <c r="C97" s="24"/>
      <c r="D97" s="42" t="str">
        <f>IFERROR(VLOOKUP(C97,①商品マスタ!$A$4:$I$106,2,0),"")</f>
        <v/>
      </c>
      <c r="E97" s="26"/>
      <c r="F97" s="43" t="str">
        <f>IFERROR(VLOOKUP(C97,①商品マスタ!$A$4:$I$106,5,0),"")</f>
        <v/>
      </c>
      <c r="G97" s="43" t="str">
        <f t="shared" si="2"/>
        <v/>
      </c>
      <c r="H97" s="24"/>
      <c r="I97" s="24"/>
    </row>
    <row r="98" spans="1:9" ht="19.5" customHeight="1">
      <c r="A98" s="28"/>
      <c r="B98" s="38"/>
      <c r="C98" s="28"/>
      <c r="D98" s="39" t="str">
        <f>IFERROR(VLOOKUP(C98,①商品マスタ!$A$4:$I$106,2,0),"")</f>
        <v/>
      </c>
      <c r="E98" s="30"/>
      <c r="F98" s="40" t="str">
        <f>IFERROR(VLOOKUP(C98,①商品マスタ!$A$4:$I$106,5,0),"")</f>
        <v/>
      </c>
      <c r="G98" s="40" t="str">
        <f t="shared" si="2"/>
        <v/>
      </c>
      <c r="H98" s="28"/>
      <c r="I98" s="28"/>
    </row>
    <row r="99" spans="1:9" ht="19.5" customHeight="1">
      <c r="A99" s="24"/>
      <c r="B99" s="41"/>
      <c r="C99" s="24"/>
      <c r="D99" s="42" t="str">
        <f>IFERROR(VLOOKUP(C99,①商品マスタ!$A$4:$I$106,2,0),"")</f>
        <v/>
      </c>
      <c r="E99" s="26"/>
      <c r="F99" s="43" t="str">
        <f>IFERROR(VLOOKUP(C99,①商品マスタ!$A$4:$I$106,5,0),"")</f>
        <v/>
      </c>
      <c r="G99" s="43" t="str">
        <f t="shared" si="2"/>
        <v/>
      </c>
      <c r="H99" s="24"/>
      <c r="I99" s="24"/>
    </row>
    <row r="100" spans="1:9" ht="19.5" customHeight="1">
      <c r="A100" s="28"/>
      <c r="B100" s="38"/>
      <c r="C100" s="28"/>
      <c r="D100" s="39" t="str">
        <f>IFERROR(VLOOKUP(C100,①商品マスタ!$A$4:$I$106,2,0),"")</f>
        <v/>
      </c>
      <c r="E100" s="30"/>
      <c r="F100" s="40" t="str">
        <f>IFERROR(VLOOKUP(C100,①商品マスタ!$A$4:$I$106,5,0),"")</f>
        <v/>
      </c>
      <c r="G100" s="40" t="str">
        <f t="shared" ref="G100:G131" si="3">IFERROR(IF(AND(E100&lt;&gt;"",F100&lt;&gt;""),E100*F100,""),"")</f>
        <v/>
      </c>
      <c r="H100" s="28"/>
      <c r="I100" s="28"/>
    </row>
    <row r="101" spans="1:9" ht="19.5" customHeight="1">
      <c r="A101" s="24"/>
      <c r="B101" s="41"/>
      <c r="C101" s="24"/>
      <c r="D101" s="42" t="str">
        <f>IFERROR(VLOOKUP(C101,①商品マスタ!$A$4:$I$106,2,0),"")</f>
        <v/>
      </c>
      <c r="E101" s="26"/>
      <c r="F101" s="43" t="str">
        <f>IFERROR(VLOOKUP(C101,①商品マスタ!$A$4:$I$106,5,0),"")</f>
        <v/>
      </c>
      <c r="G101" s="43" t="str">
        <f t="shared" si="3"/>
        <v/>
      </c>
      <c r="H101" s="24"/>
      <c r="I101" s="24"/>
    </row>
    <row r="102" spans="1:9" ht="19.5" customHeight="1">
      <c r="A102" s="28"/>
      <c r="B102" s="38"/>
      <c r="C102" s="28"/>
      <c r="D102" s="39" t="str">
        <f>IFERROR(VLOOKUP(C102,①商品マスタ!$A$4:$I$106,2,0),"")</f>
        <v/>
      </c>
      <c r="E102" s="30"/>
      <c r="F102" s="40" t="str">
        <f>IFERROR(VLOOKUP(C102,①商品マスタ!$A$4:$I$106,5,0),"")</f>
        <v/>
      </c>
      <c r="G102" s="40" t="str">
        <f t="shared" si="3"/>
        <v/>
      </c>
      <c r="H102" s="28"/>
      <c r="I102" s="28"/>
    </row>
    <row r="103" spans="1:9" ht="19.5" customHeight="1">
      <c r="A103" s="24"/>
      <c r="B103" s="41"/>
      <c r="C103" s="24"/>
      <c r="D103" s="42" t="str">
        <f>IFERROR(VLOOKUP(C103,①商品マスタ!$A$4:$I$106,2,0),"")</f>
        <v/>
      </c>
      <c r="E103" s="26"/>
      <c r="F103" s="43" t="str">
        <f>IFERROR(VLOOKUP(C103,①商品マスタ!$A$4:$I$106,5,0),"")</f>
        <v/>
      </c>
      <c r="G103" s="43" t="str">
        <f t="shared" si="3"/>
        <v/>
      </c>
      <c r="H103" s="24"/>
      <c r="I103" s="24"/>
    </row>
    <row r="104" spans="1:9" ht="19.5" customHeight="1">
      <c r="A104" s="28"/>
      <c r="B104" s="38"/>
      <c r="C104" s="28"/>
      <c r="D104" s="39" t="str">
        <f>IFERROR(VLOOKUP(C104,①商品マスタ!$A$4:$I$106,2,0),"")</f>
        <v/>
      </c>
      <c r="E104" s="30"/>
      <c r="F104" s="40" t="str">
        <f>IFERROR(VLOOKUP(C104,①商品マスタ!$A$4:$I$106,5,0),"")</f>
        <v/>
      </c>
      <c r="G104" s="40" t="str">
        <f t="shared" si="3"/>
        <v/>
      </c>
      <c r="H104" s="28"/>
      <c r="I104" s="28"/>
    </row>
    <row r="105" spans="1:9" ht="19.5" customHeight="1">
      <c r="A105" s="24"/>
      <c r="B105" s="41"/>
      <c r="C105" s="24"/>
      <c r="D105" s="42" t="str">
        <f>IFERROR(VLOOKUP(C105,①商品マスタ!$A$4:$I$106,2,0),"")</f>
        <v/>
      </c>
      <c r="E105" s="26"/>
      <c r="F105" s="43" t="str">
        <f>IFERROR(VLOOKUP(C105,①商品マスタ!$A$4:$I$106,5,0),"")</f>
        <v/>
      </c>
      <c r="G105" s="43" t="str">
        <f t="shared" si="3"/>
        <v/>
      </c>
      <c r="H105" s="24"/>
      <c r="I105" s="24"/>
    </row>
    <row r="106" spans="1:9" ht="19.5" customHeight="1">
      <c r="A106" s="28"/>
      <c r="B106" s="38"/>
      <c r="C106" s="28"/>
      <c r="D106" s="39" t="str">
        <f>IFERROR(VLOOKUP(C106,①商品マスタ!$A$4:$I$106,2,0),"")</f>
        <v/>
      </c>
      <c r="E106" s="30"/>
      <c r="F106" s="40" t="str">
        <f>IFERROR(VLOOKUP(C106,①商品マスタ!$A$4:$I$106,5,0),"")</f>
        <v/>
      </c>
      <c r="G106" s="40" t="str">
        <f t="shared" si="3"/>
        <v/>
      </c>
      <c r="H106" s="28"/>
      <c r="I106" s="28"/>
    </row>
    <row r="107" spans="1:9" ht="19.5" customHeight="1">
      <c r="A107" s="24"/>
      <c r="B107" s="41"/>
      <c r="C107" s="24"/>
      <c r="D107" s="42" t="str">
        <f>IFERROR(VLOOKUP(C107,①商品マスタ!$A$4:$I$106,2,0),"")</f>
        <v/>
      </c>
      <c r="E107" s="26"/>
      <c r="F107" s="43" t="str">
        <f>IFERROR(VLOOKUP(C107,①商品マスタ!$A$4:$I$106,5,0),"")</f>
        <v/>
      </c>
      <c r="G107" s="43" t="str">
        <f t="shared" si="3"/>
        <v/>
      </c>
      <c r="H107" s="24"/>
      <c r="I107" s="24"/>
    </row>
    <row r="108" spans="1:9" ht="19.5" customHeight="1">
      <c r="A108" s="28"/>
      <c r="B108" s="38"/>
      <c r="C108" s="28"/>
      <c r="D108" s="39" t="str">
        <f>IFERROR(VLOOKUP(C108,①商品マスタ!$A$4:$I$106,2,0),"")</f>
        <v/>
      </c>
      <c r="E108" s="30"/>
      <c r="F108" s="40" t="str">
        <f>IFERROR(VLOOKUP(C108,①商品マスタ!$A$4:$I$106,5,0),"")</f>
        <v/>
      </c>
      <c r="G108" s="40" t="str">
        <f t="shared" si="3"/>
        <v/>
      </c>
      <c r="H108" s="28"/>
      <c r="I108" s="28"/>
    </row>
    <row r="109" spans="1:9" ht="19.5" customHeight="1">
      <c r="A109" s="24"/>
      <c r="B109" s="41"/>
      <c r="C109" s="24"/>
      <c r="D109" s="42" t="str">
        <f>IFERROR(VLOOKUP(C109,①商品マスタ!$A$4:$I$106,2,0),"")</f>
        <v/>
      </c>
      <c r="E109" s="26"/>
      <c r="F109" s="43" t="str">
        <f>IFERROR(VLOOKUP(C109,①商品マスタ!$A$4:$I$106,5,0),"")</f>
        <v/>
      </c>
      <c r="G109" s="43" t="str">
        <f t="shared" si="3"/>
        <v/>
      </c>
      <c r="H109" s="24"/>
      <c r="I109" s="24"/>
    </row>
    <row r="110" spans="1:9" ht="19.5" customHeight="1">
      <c r="A110" s="28"/>
      <c r="B110" s="38"/>
      <c r="C110" s="28"/>
      <c r="D110" s="39" t="str">
        <f>IFERROR(VLOOKUP(C110,①商品マスタ!$A$4:$I$106,2,0),"")</f>
        <v/>
      </c>
      <c r="E110" s="30"/>
      <c r="F110" s="40" t="str">
        <f>IFERROR(VLOOKUP(C110,①商品マスタ!$A$4:$I$106,5,0),"")</f>
        <v/>
      </c>
      <c r="G110" s="40" t="str">
        <f t="shared" si="3"/>
        <v/>
      </c>
      <c r="H110" s="28"/>
      <c r="I110" s="28"/>
    </row>
    <row r="111" spans="1:9" ht="19.5" customHeight="1">
      <c r="A111" s="24"/>
      <c r="B111" s="41"/>
      <c r="C111" s="24"/>
      <c r="D111" s="42" t="str">
        <f>IFERROR(VLOOKUP(C111,①商品マスタ!$A$4:$I$106,2,0),"")</f>
        <v/>
      </c>
      <c r="E111" s="26"/>
      <c r="F111" s="43" t="str">
        <f>IFERROR(VLOOKUP(C111,①商品マスタ!$A$4:$I$106,5,0),"")</f>
        <v/>
      </c>
      <c r="G111" s="43" t="str">
        <f t="shared" si="3"/>
        <v/>
      </c>
      <c r="H111" s="24"/>
      <c r="I111" s="24"/>
    </row>
    <row r="112" spans="1:9" ht="19.5" customHeight="1">
      <c r="A112" s="28"/>
      <c r="B112" s="38"/>
      <c r="C112" s="28"/>
      <c r="D112" s="39" t="str">
        <f>IFERROR(VLOOKUP(C112,①商品マスタ!$A$4:$I$106,2,0),"")</f>
        <v/>
      </c>
      <c r="E112" s="30"/>
      <c r="F112" s="40" t="str">
        <f>IFERROR(VLOOKUP(C112,①商品マスタ!$A$4:$I$106,5,0),"")</f>
        <v/>
      </c>
      <c r="G112" s="40" t="str">
        <f t="shared" si="3"/>
        <v/>
      </c>
      <c r="H112" s="28"/>
      <c r="I112" s="28"/>
    </row>
    <row r="113" spans="1:9" ht="19.5" customHeight="1">
      <c r="A113" s="24"/>
      <c r="B113" s="41"/>
      <c r="C113" s="24"/>
      <c r="D113" s="42" t="str">
        <f>IFERROR(VLOOKUP(C113,①商品マスタ!$A$4:$I$106,2,0),"")</f>
        <v/>
      </c>
      <c r="E113" s="26"/>
      <c r="F113" s="43" t="str">
        <f>IFERROR(VLOOKUP(C113,①商品マスタ!$A$4:$I$106,5,0),"")</f>
        <v/>
      </c>
      <c r="G113" s="43" t="str">
        <f t="shared" si="3"/>
        <v/>
      </c>
      <c r="H113" s="24"/>
      <c r="I113" s="24"/>
    </row>
    <row r="114" spans="1:9" ht="19.5" customHeight="1">
      <c r="A114" s="28"/>
      <c r="B114" s="38"/>
      <c r="C114" s="28"/>
      <c r="D114" s="39" t="str">
        <f>IFERROR(VLOOKUP(C114,①商品マスタ!$A$4:$I$106,2,0),"")</f>
        <v/>
      </c>
      <c r="E114" s="30"/>
      <c r="F114" s="40" t="str">
        <f>IFERROR(VLOOKUP(C114,①商品マスタ!$A$4:$I$106,5,0),"")</f>
        <v/>
      </c>
      <c r="G114" s="40" t="str">
        <f t="shared" si="3"/>
        <v/>
      </c>
      <c r="H114" s="28"/>
      <c r="I114" s="28"/>
    </row>
    <row r="115" spans="1:9" ht="19.5" customHeight="1">
      <c r="A115" s="24"/>
      <c r="B115" s="41"/>
      <c r="C115" s="24"/>
      <c r="D115" s="42" t="str">
        <f>IFERROR(VLOOKUP(C115,①商品マスタ!$A$4:$I$106,2,0),"")</f>
        <v/>
      </c>
      <c r="E115" s="26"/>
      <c r="F115" s="43" t="str">
        <f>IFERROR(VLOOKUP(C115,①商品マスタ!$A$4:$I$106,5,0),"")</f>
        <v/>
      </c>
      <c r="G115" s="43" t="str">
        <f t="shared" si="3"/>
        <v/>
      </c>
      <c r="H115" s="24"/>
      <c r="I115" s="24"/>
    </row>
    <row r="116" spans="1:9" ht="19.5" customHeight="1">
      <c r="A116" s="28"/>
      <c r="B116" s="38"/>
      <c r="C116" s="28"/>
      <c r="D116" s="39" t="str">
        <f>IFERROR(VLOOKUP(C116,①商品マスタ!$A$4:$I$106,2,0),"")</f>
        <v/>
      </c>
      <c r="E116" s="30"/>
      <c r="F116" s="40" t="str">
        <f>IFERROR(VLOOKUP(C116,①商品マスタ!$A$4:$I$106,5,0),"")</f>
        <v/>
      </c>
      <c r="G116" s="40" t="str">
        <f t="shared" si="3"/>
        <v/>
      </c>
      <c r="H116" s="28"/>
      <c r="I116" s="28"/>
    </row>
    <row r="117" spans="1:9" ht="19.5" customHeight="1">
      <c r="A117" s="24"/>
      <c r="B117" s="41"/>
      <c r="C117" s="24"/>
      <c r="D117" s="42" t="str">
        <f>IFERROR(VLOOKUP(C117,①商品マスタ!$A$4:$I$106,2,0),"")</f>
        <v/>
      </c>
      <c r="E117" s="26"/>
      <c r="F117" s="43" t="str">
        <f>IFERROR(VLOOKUP(C117,①商品マスタ!$A$4:$I$106,5,0),"")</f>
        <v/>
      </c>
      <c r="G117" s="43" t="str">
        <f t="shared" si="3"/>
        <v/>
      </c>
      <c r="H117" s="24"/>
      <c r="I117" s="24"/>
    </row>
    <row r="118" spans="1:9" ht="19.5" customHeight="1">
      <c r="A118" s="28"/>
      <c r="B118" s="38"/>
      <c r="C118" s="28"/>
      <c r="D118" s="39" t="str">
        <f>IFERROR(VLOOKUP(C118,①商品マスタ!$A$4:$I$106,2,0),"")</f>
        <v/>
      </c>
      <c r="E118" s="30"/>
      <c r="F118" s="40" t="str">
        <f>IFERROR(VLOOKUP(C118,①商品マスタ!$A$4:$I$106,5,0),"")</f>
        <v/>
      </c>
      <c r="G118" s="40" t="str">
        <f t="shared" si="3"/>
        <v/>
      </c>
      <c r="H118" s="28"/>
      <c r="I118" s="28"/>
    </row>
    <row r="119" spans="1:9" ht="19.5" customHeight="1">
      <c r="A119" s="24"/>
      <c r="B119" s="41"/>
      <c r="C119" s="24"/>
      <c r="D119" s="42" t="str">
        <f>IFERROR(VLOOKUP(C119,①商品マスタ!$A$4:$I$106,2,0),"")</f>
        <v/>
      </c>
      <c r="E119" s="26"/>
      <c r="F119" s="43" t="str">
        <f>IFERROR(VLOOKUP(C119,①商品マスタ!$A$4:$I$106,5,0),"")</f>
        <v/>
      </c>
      <c r="G119" s="43" t="str">
        <f t="shared" si="3"/>
        <v/>
      </c>
      <c r="H119" s="24"/>
      <c r="I119" s="24"/>
    </row>
    <row r="120" spans="1:9" ht="19.5" customHeight="1">
      <c r="A120" s="28"/>
      <c r="B120" s="38"/>
      <c r="C120" s="28"/>
      <c r="D120" s="39" t="str">
        <f>IFERROR(VLOOKUP(C120,①商品マスタ!$A$4:$I$106,2,0),"")</f>
        <v/>
      </c>
      <c r="E120" s="30"/>
      <c r="F120" s="40" t="str">
        <f>IFERROR(VLOOKUP(C120,①商品マスタ!$A$4:$I$106,5,0),"")</f>
        <v/>
      </c>
      <c r="G120" s="40" t="str">
        <f t="shared" si="3"/>
        <v/>
      </c>
      <c r="H120" s="28"/>
      <c r="I120" s="28"/>
    </row>
    <row r="121" spans="1:9" ht="19.5" customHeight="1">
      <c r="A121" s="24"/>
      <c r="B121" s="41"/>
      <c r="C121" s="24"/>
      <c r="D121" s="42" t="str">
        <f>IFERROR(VLOOKUP(C121,①商品マスタ!$A$4:$I$106,2,0),"")</f>
        <v/>
      </c>
      <c r="E121" s="26"/>
      <c r="F121" s="43" t="str">
        <f>IFERROR(VLOOKUP(C121,①商品マスタ!$A$4:$I$106,5,0),"")</f>
        <v/>
      </c>
      <c r="G121" s="43" t="str">
        <f t="shared" si="3"/>
        <v/>
      </c>
      <c r="H121" s="24"/>
      <c r="I121" s="24"/>
    </row>
    <row r="122" spans="1:9" ht="19.5" customHeight="1">
      <c r="A122" s="28"/>
      <c r="B122" s="38"/>
      <c r="C122" s="28"/>
      <c r="D122" s="39" t="str">
        <f>IFERROR(VLOOKUP(C122,①商品マスタ!$A$4:$I$106,2,0),"")</f>
        <v/>
      </c>
      <c r="E122" s="30"/>
      <c r="F122" s="40" t="str">
        <f>IFERROR(VLOOKUP(C122,①商品マスタ!$A$4:$I$106,5,0),"")</f>
        <v/>
      </c>
      <c r="G122" s="40" t="str">
        <f t="shared" si="3"/>
        <v/>
      </c>
      <c r="H122" s="28"/>
      <c r="I122" s="28"/>
    </row>
    <row r="123" spans="1:9" ht="19.5" customHeight="1">
      <c r="A123" s="24"/>
      <c r="B123" s="41"/>
      <c r="C123" s="24"/>
      <c r="D123" s="42" t="str">
        <f>IFERROR(VLOOKUP(C123,①商品マスタ!$A$4:$I$106,2,0),"")</f>
        <v/>
      </c>
      <c r="E123" s="26"/>
      <c r="F123" s="43" t="str">
        <f>IFERROR(VLOOKUP(C123,①商品マスタ!$A$4:$I$106,5,0),"")</f>
        <v/>
      </c>
      <c r="G123" s="43" t="str">
        <f t="shared" si="3"/>
        <v/>
      </c>
      <c r="H123" s="24"/>
      <c r="I123" s="24"/>
    </row>
    <row r="124" spans="1:9" ht="19.5" customHeight="1">
      <c r="A124" s="28"/>
      <c r="B124" s="38"/>
      <c r="C124" s="28"/>
      <c r="D124" s="39" t="str">
        <f>IFERROR(VLOOKUP(C124,①商品マスタ!$A$4:$I$106,2,0),"")</f>
        <v/>
      </c>
      <c r="E124" s="30"/>
      <c r="F124" s="40" t="str">
        <f>IFERROR(VLOOKUP(C124,①商品マスタ!$A$4:$I$106,5,0),"")</f>
        <v/>
      </c>
      <c r="G124" s="40" t="str">
        <f t="shared" si="3"/>
        <v/>
      </c>
      <c r="H124" s="28"/>
      <c r="I124" s="28"/>
    </row>
    <row r="125" spans="1:9" ht="19.5" customHeight="1">
      <c r="A125" s="24"/>
      <c r="B125" s="41"/>
      <c r="C125" s="24"/>
      <c r="D125" s="42" t="str">
        <f>IFERROR(VLOOKUP(C125,①商品マスタ!$A$4:$I$106,2,0),"")</f>
        <v/>
      </c>
      <c r="E125" s="26"/>
      <c r="F125" s="43" t="str">
        <f>IFERROR(VLOOKUP(C125,①商品マスタ!$A$4:$I$106,5,0),"")</f>
        <v/>
      </c>
      <c r="G125" s="43" t="str">
        <f t="shared" si="3"/>
        <v/>
      </c>
      <c r="H125" s="24"/>
      <c r="I125" s="24"/>
    </row>
    <row r="126" spans="1:9" ht="19.5" customHeight="1">
      <c r="A126" s="28"/>
      <c r="B126" s="38"/>
      <c r="C126" s="28"/>
      <c r="D126" s="39" t="str">
        <f>IFERROR(VLOOKUP(C126,①商品マスタ!$A$4:$I$106,2,0),"")</f>
        <v/>
      </c>
      <c r="E126" s="30"/>
      <c r="F126" s="40" t="str">
        <f>IFERROR(VLOOKUP(C126,①商品マスタ!$A$4:$I$106,5,0),"")</f>
        <v/>
      </c>
      <c r="G126" s="40" t="str">
        <f t="shared" si="3"/>
        <v/>
      </c>
      <c r="H126" s="28"/>
      <c r="I126" s="28"/>
    </row>
    <row r="127" spans="1:9" ht="19.5" customHeight="1">
      <c r="A127" s="24"/>
      <c r="B127" s="41"/>
      <c r="C127" s="24"/>
      <c r="D127" s="42" t="str">
        <f>IFERROR(VLOOKUP(C127,①商品マスタ!$A$4:$I$106,2,0),"")</f>
        <v/>
      </c>
      <c r="E127" s="26"/>
      <c r="F127" s="43" t="str">
        <f>IFERROR(VLOOKUP(C127,①商品マスタ!$A$4:$I$106,5,0),"")</f>
        <v/>
      </c>
      <c r="G127" s="43" t="str">
        <f t="shared" si="3"/>
        <v/>
      </c>
      <c r="H127" s="24"/>
      <c r="I127" s="24"/>
    </row>
    <row r="128" spans="1:9" ht="19.5" customHeight="1">
      <c r="A128" s="28"/>
      <c r="B128" s="38"/>
      <c r="C128" s="28"/>
      <c r="D128" s="39" t="str">
        <f>IFERROR(VLOOKUP(C128,①商品マスタ!$A$4:$I$106,2,0),"")</f>
        <v/>
      </c>
      <c r="E128" s="30"/>
      <c r="F128" s="40" t="str">
        <f>IFERROR(VLOOKUP(C128,①商品マスタ!$A$4:$I$106,5,0),"")</f>
        <v/>
      </c>
      <c r="G128" s="40" t="str">
        <f t="shared" si="3"/>
        <v/>
      </c>
      <c r="H128" s="28"/>
      <c r="I128" s="28"/>
    </row>
    <row r="129" spans="1:9" ht="19.5" customHeight="1">
      <c r="A129" s="24"/>
      <c r="B129" s="41"/>
      <c r="C129" s="24"/>
      <c r="D129" s="42" t="str">
        <f>IFERROR(VLOOKUP(C129,①商品マスタ!$A$4:$I$106,2,0),"")</f>
        <v/>
      </c>
      <c r="E129" s="26"/>
      <c r="F129" s="43" t="str">
        <f>IFERROR(VLOOKUP(C129,①商品マスタ!$A$4:$I$106,5,0),"")</f>
        <v/>
      </c>
      <c r="G129" s="43" t="str">
        <f t="shared" si="3"/>
        <v/>
      </c>
      <c r="H129" s="24"/>
      <c r="I129" s="24"/>
    </row>
    <row r="130" spans="1:9" ht="19.5" customHeight="1">
      <c r="A130" s="28"/>
      <c r="B130" s="38"/>
      <c r="C130" s="28"/>
      <c r="D130" s="39" t="str">
        <f>IFERROR(VLOOKUP(C130,①商品マスタ!$A$4:$I$106,2,0),"")</f>
        <v/>
      </c>
      <c r="E130" s="30"/>
      <c r="F130" s="40" t="str">
        <f>IFERROR(VLOOKUP(C130,①商品マスタ!$A$4:$I$106,5,0),"")</f>
        <v/>
      </c>
      <c r="G130" s="40" t="str">
        <f t="shared" si="3"/>
        <v/>
      </c>
      <c r="H130" s="28"/>
      <c r="I130" s="28"/>
    </row>
    <row r="131" spans="1:9" ht="19.5" customHeight="1">
      <c r="A131" s="24"/>
      <c r="B131" s="41"/>
      <c r="C131" s="24"/>
      <c r="D131" s="42" t="str">
        <f>IFERROR(VLOOKUP(C131,①商品マスタ!$A$4:$I$106,2,0),"")</f>
        <v/>
      </c>
      <c r="E131" s="26"/>
      <c r="F131" s="43" t="str">
        <f>IFERROR(VLOOKUP(C131,①商品マスタ!$A$4:$I$106,5,0),"")</f>
        <v/>
      </c>
      <c r="G131" s="43" t="str">
        <f t="shared" si="3"/>
        <v/>
      </c>
      <c r="H131" s="24"/>
      <c r="I131" s="24"/>
    </row>
    <row r="132" spans="1:9" ht="19.5" customHeight="1">
      <c r="A132" s="28"/>
      <c r="B132" s="38"/>
      <c r="C132" s="28"/>
      <c r="D132" s="39" t="str">
        <f>IFERROR(VLOOKUP(C132,①商品マスタ!$A$4:$I$106,2,0),"")</f>
        <v/>
      </c>
      <c r="E132" s="30"/>
      <c r="F132" s="40" t="str">
        <f>IFERROR(VLOOKUP(C132,①商品マスタ!$A$4:$I$106,5,0),"")</f>
        <v/>
      </c>
      <c r="G132" s="40" t="str">
        <f t="shared" ref="G132:G163" si="4">IFERROR(IF(AND(E132&lt;&gt;"",F132&lt;&gt;""),E132*F132,""),"")</f>
        <v/>
      </c>
      <c r="H132" s="28"/>
      <c r="I132" s="28"/>
    </row>
    <row r="133" spans="1:9" ht="19.5" customHeight="1">
      <c r="A133" s="24"/>
      <c r="B133" s="41"/>
      <c r="C133" s="24"/>
      <c r="D133" s="42" t="str">
        <f>IFERROR(VLOOKUP(C133,①商品マスタ!$A$4:$I$106,2,0),"")</f>
        <v/>
      </c>
      <c r="E133" s="26"/>
      <c r="F133" s="43" t="str">
        <f>IFERROR(VLOOKUP(C133,①商品マスタ!$A$4:$I$106,5,0),"")</f>
        <v/>
      </c>
      <c r="G133" s="43" t="str">
        <f t="shared" si="4"/>
        <v/>
      </c>
      <c r="H133" s="24"/>
      <c r="I133" s="24"/>
    </row>
    <row r="134" spans="1:9" ht="19.5" customHeight="1">
      <c r="A134" s="28"/>
      <c r="B134" s="38"/>
      <c r="C134" s="28"/>
      <c r="D134" s="39" t="str">
        <f>IFERROR(VLOOKUP(C134,①商品マスタ!$A$4:$I$106,2,0),"")</f>
        <v/>
      </c>
      <c r="E134" s="30"/>
      <c r="F134" s="40" t="str">
        <f>IFERROR(VLOOKUP(C134,①商品マスタ!$A$4:$I$106,5,0),"")</f>
        <v/>
      </c>
      <c r="G134" s="40" t="str">
        <f t="shared" si="4"/>
        <v/>
      </c>
      <c r="H134" s="28"/>
      <c r="I134" s="28"/>
    </row>
    <row r="135" spans="1:9" ht="19.5" customHeight="1">
      <c r="A135" s="24"/>
      <c r="B135" s="41"/>
      <c r="C135" s="24"/>
      <c r="D135" s="42" t="str">
        <f>IFERROR(VLOOKUP(C135,①商品マスタ!$A$4:$I$106,2,0),"")</f>
        <v/>
      </c>
      <c r="E135" s="26"/>
      <c r="F135" s="43" t="str">
        <f>IFERROR(VLOOKUP(C135,①商品マスタ!$A$4:$I$106,5,0),"")</f>
        <v/>
      </c>
      <c r="G135" s="43" t="str">
        <f t="shared" si="4"/>
        <v/>
      </c>
      <c r="H135" s="24"/>
      <c r="I135" s="24"/>
    </row>
    <row r="136" spans="1:9" ht="19.5" customHeight="1">
      <c r="A136" s="28"/>
      <c r="B136" s="38"/>
      <c r="C136" s="28"/>
      <c r="D136" s="39" t="str">
        <f>IFERROR(VLOOKUP(C136,①商品マスタ!$A$4:$I$106,2,0),"")</f>
        <v/>
      </c>
      <c r="E136" s="30"/>
      <c r="F136" s="40" t="str">
        <f>IFERROR(VLOOKUP(C136,①商品マスタ!$A$4:$I$106,5,0),"")</f>
        <v/>
      </c>
      <c r="G136" s="40" t="str">
        <f t="shared" si="4"/>
        <v/>
      </c>
      <c r="H136" s="28"/>
      <c r="I136" s="28"/>
    </row>
    <row r="137" spans="1:9" ht="19.5" customHeight="1">
      <c r="A137" s="24"/>
      <c r="B137" s="41"/>
      <c r="C137" s="24"/>
      <c r="D137" s="42" t="str">
        <f>IFERROR(VLOOKUP(C137,①商品マスタ!$A$4:$I$106,2,0),"")</f>
        <v/>
      </c>
      <c r="E137" s="26"/>
      <c r="F137" s="43" t="str">
        <f>IFERROR(VLOOKUP(C137,①商品マスタ!$A$4:$I$106,5,0),"")</f>
        <v/>
      </c>
      <c r="G137" s="43" t="str">
        <f t="shared" si="4"/>
        <v/>
      </c>
      <c r="H137" s="24"/>
      <c r="I137" s="24"/>
    </row>
    <row r="138" spans="1:9" ht="19.5" customHeight="1">
      <c r="A138" s="28"/>
      <c r="B138" s="38"/>
      <c r="C138" s="28"/>
      <c r="D138" s="39" t="str">
        <f>IFERROR(VLOOKUP(C138,①商品マスタ!$A$4:$I$106,2,0),"")</f>
        <v/>
      </c>
      <c r="E138" s="30"/>
      <c r="F138" s="40" t="str">
        <f>IFERROR(VLOOKUP(C138,①商品マスタ!$A$4:$I$106,5,0),"")</f>
        <v/>
      </c>
      <c r="G138" s="40" t="str">
        <f t="shared" si="4"/>
        <v/>
      </c>
      <c r="H138" s="28"/>
      <c r="I138" s="28"/>
    </row>
    <row r="139" spans="1:9" ht="19.5" customHeight="1">
      <c r="A139" s="24"/>
      <c r="B139" s="41"/>
      <c r="C139" s="24"/>
      <c r="D139" s="42" t="str">
        <f>IFERROR(VLOOKUP(C139,①商品マスタ!$A$4:$I$106,2,0),"")</f>
        <v/>
      </c>
      <c r="E139" s="26"/>
      <c r="F139" s="43" t="str">
        <f>IFERROR(VLOOKUP(C139,①商品マスタ!$A$4:$I$106,5,0),"")</f>
        <v/>
      </c>
      <c r="G139" s="43" t="str">
        <f t="shared" si="4"/>
        <v/>
      </c>
      <c r="H139" s="24"/>
      <c r="I139" s="24"/>
    </row>
    <row r="140" spans="1:9" ht="19.5" customHeight="1">
      <c r="A140" s="28"/>
      <c r="B140" s="38"/>
      <c r="C140" s="28"/>
      <c r="D140" s="39" t="str">
        <f>IFERROR(VLOOKUP(C140,①商品マスタ!$A$4:$I$106,2,0),"")</f>
        <v/>
      </c>
      <c r="E140" s="30"/>
      <c r="F140" s="40" t="str">
        <f>IFERROR(VLOOKUP(C140,①商品マスタ!$A$4:$I$106,5,0),"")</f>
        <v/>
      </c>
      <c r="G140" s="40" t="str">
        <f t="shared" si="4"/>
        <v/>
      </c>
      <c r="H140" s="28"/>
      <c r="I140" s="28"/>
    </row>
    <row r="141" spans="1:9" ht="19.5" customHeight="1">
      <c r="A141" s="24"/>
      <c r="B141" s="41"/>
      <c r="C141" s="24"/>
      <c r="D141" s="42" t="str">
        <f>IFERROR(VLOOKUP(C141,①商品マスタ!$A$4:$I$106,2,0),"")</f>
        <v/>
      </c>
      <c r="E141" s="26"/>
      <c r="F141" s="43" t="str">
        <f>IFERROR(VLOOKUP(C141,①商品マスタ!$A$4:$I$106,5,0),"")</f>
        <v/>
      </c>
      <c r="G141" s="43" t="str">
        <f t="shared" si="4"/>
        <v/>
      </c>
      <c r="H141" s="24"/>
      <c r="I141" s="24"/>
    </row>
    <row r="142" spans="1:9" ht="19.5" customHeight="1">
      <c r="A142" s="28"/>
      <c r="B142" s="38"/>
      <c r="C142" s="28"/>
      <c r="D142" s="39" t="str">
        <f>IFERROR(VLOOKUP(C142,①商品マスタ!$A$4:$I$106,2,0),"")</f>
        <v/>
      </c>
      <c r="E142" s="30"/>
      <c r="F142" s="40" t="str">
        <f>IFERROR(VLOOKUP(C142,①商品マスタ!$A$4:$I$106,5,0),"")</f>
        <v/>
      </c>
      <c r="G142" s="40" t="str">
        <f t="shared" si="4"/>
        <v/>
      </c>
      <c r="H142" s="28"/>
      <c r="I142" s="28"/>
    </row>
    <row r="143" spans="1:9" ht="19.5" customHeight="1">
      <c r="A143" s="24"/>
      <c r="B143" s="41"/>
      <c r="C143" s="24"/>
      <c r="D143" s="42" t="str">
        <f>IFERROR(VLOOKUP(C143,①商品マスタ!$A$4:$I$106,2,0),"")</f>
        <v/>
      </c>
      <c r="E143" s="26"/>
      <c r="F143" s="43" t="str">
        <f>IFERROR(VLOOKUP(C143,①商品マスタ!$A$4:$I$106,5,0),"")</f>
        <v/>
      </c>
      <c r="G143" s="43" t="str">
        <f t="shared" si="4"/>
        <v/>
      </c>
      <c r="H143" s="24"/>
      <c r="I143" s="24"/>
    </row>
    <row r="144" spans="1:9" ht="19.5" customHeight="1">
      <c r="A144" s="28"/>
      <c r="B144" s="38"/>
      <c r="C144" s="28"/>
      <c r="D144" s="39" t="str">
        <f>IFERROR(VLOOKUP(C144,①商品マスタ!$A$4:$I$106,2,0),"")</f>
        <v/>
      </c>
      <c r="E144" s="30"/>
      <c r="F144" s="40" t="str">
        <f>IFERROR(VLOOKUP(C144,①商品マスタ!$A$4:$I$106,5,0),"")</f>
        <v/>
      </c>
      <c r="G144" s="40" t="str">
        <f t="shared" si="4"/>
        <v/>
      </c>
      <c r="H144" s="28"/>
      <c r="I144" s="28"/>
    </row>
    <row r="145" spans="1:9" ht="19.5" customHeight="1">
      <c r="A145" s="24"/>
      <c r="B145" s="41"/>
      <c r="C145" s="24"/>
      <c r="D145" s="42" t="str">
        <f>IFERROR(VLOOKUP(C145,①商品マスタ!$A$4:$I$106,2,0),"")</f>
        <v/>
      </c>
      <c r="E145" s="26"/>
      <c r="F145" s="43" t="str">
        <f>IFERROR(VLOOKUP(C145,①商品マスタ!$A$4:$I$106,5,0),"")</f>
        <v/>
      </c>
      <c r="G145" s="43" t="str">
        <f t="shared" si="4"/>
        <v/>
      </c>
      <c r="H145" s="24"/>
      <c r="I145" s="24"/>
    </row>
    <row r="146" spans="1:9" ht="19.5" customHeight="1">
      <c r="A146" s="28"/>
      <c r="B146" s="38"/>
      <c r="C146" s="28"/>
      <c r="D146" s="39" t="str">
        <f>IFERROR(VLOOKUP(C146,①商品マスタ!$A$4:$I$106,2,0),"")</f>
        <v/>
      </c>
      <c r="E146" s="30"/>
      <c r="F146" s="40" t="str">
        <f>IFERROR(VLOOKUP(C146,①商品マスタ!$A$4:$I$106,5,0),"")</f>
        <v/>
      </c>
      <c r="G146" s="40" t="str">
        <f t="shared" si="4"/>
        <v/>
      </c>
      <c r="H146" s="28"/>
      <c r="I146" s="28"/>
    </row>
    <row r="147" spans="1:9" ht="19.5" customHeight="1">
      <c r="A147" s="24"/>
      <c r="B147" s="41"/>
      <c r="C147" s="24"/>
      <c r="D147" s="42" t="str">
        <f>IFERROR(VLOOKUP(C147,①商品マスタ!$A$4:$I$106,2,0),"")</f>
        <v/>
      </c>
      <c r="E147" s="26"/>
      <c r="F147" s="43" t="str">
        <f>IFERROR(VLOOKUP(C147,①商品マスタ!$A$4:$I$106,5,0),"")</f>
        <v/>
      </c>
      <c r="G147" s="43" t="str">
        <f t="shared" si="4"/>
        <v/>
      </c>
      <c r="H147" s="24"/>
      <c r="I147" s="24"/>
    </row>
    <row r="148" spans="1:9" ht="19.5" customHeight="1">
      <c r="A148" s="28"/>
      <c r="B148" s="38"/>
      <c r="C148" s="28"/>
      <c r="D148" s="39" t="str">
        <f>IFERROR(VLOOKUP(C148,①商品マスタ!$A$4:$I$106,2,0),"")</f>
        <v/>
      </c>
      <c r="E148" s="30"/>
      <c r="F148" s="40" t="str">
        <f>IFERROR(VLOOKUP(C148,①商品マスタ!$A$4:$I$106,5,0),"")</f>
        <v/>
      </c>
      <c r="G148" s="40" t="str">
        <f t="shared" si="4"/>
        <v/>
      </c>
      <c r="H148" s="28"/>
      <c r="I148" s="28"/>
    </row>
    <row r="149" spans="1:9" ht="19.5" customHeight="1">
      <c r="A149" s="24"/>
      <c r="B149" s="41"/>
      <c r="C149" s="24"/>
      <c r="D149" s="42" t="str">
        <f>IFERROR(VLOOKUP(C149,①商品マスタ!$A$4:$I$106,2,0),"")</f>
        <v/>
      </c>
      <c r="E149" s="26"/>
      <c r="F149" s="43" t="str">
        <f>IFERROR(VLOOKUP(C149,①商品マスタ!$A$4:$I$106,5,0),"")</f>
        <v/>
      </c>
      <c r="G149" s="43" t="str">
        <f t="shared" si="4"/>
        <v/>
      </c>
      <c r="H149" s="24"/>
      <c r="I149" s="24"/>
    </row>
    <row r="150" spans="1:9" ht="19.5" customHeight="1">
      <c r="A150" s="28"/>
      <c r="B150" s="38"/>
      <c r="C150" s="28"/>
      <c r="D150" s="39" t="str">
        <f>IFERROR(VLOOKUP(C150,①商品マスタ!$A$4:$I$106,2,0),"")</f>
        <v/>
      </c>
      <c r="E150" s="30"/>
      <c r="F150" s="40" t="str">
        <f>IFERROR(VLOOKUP(C150,①商品マスタ!$A$4:$I$106,5,0),"")</f>
        <v/>
      </c>
      <c r="G150" s="40" t="str">
        <f t="shared" si="4"/>
        <v/>
      </c>
      <c r="H150" s="28"/>
      <c r="I150" s="28"/>
    </row>
    <row r="151" spans="1:9" ht="19.5" customHeight="1">
      <c r="A151" s="24"/>
      <c r="B151" s="41"/>
      <c r="C151" s="24"/>
      <c r="D151" s="42" t="str">
        <f>IFERROR(VLOOKUP(C151,①商品マスタ!$A$4:$I$106,2,0),"")</f>
        <v/>
      </c>
      <c r="E151" s="26"/>
      <c r="F151" s="43" t="str">
        <f>IFERROR(VLOOKUP(C151,①商品マスタ!$A$4:$I$106,5,0),"")</f>
        <v/>
      </c>
      <c r="G151" s="43" t="str">
        <f t="shared" si="4"/>
        <v/>
      </c>
      <c r="H151" s="24"/>
      <c r="I151" s="24"/>
    </row>
    <row r="152" spans="1:9" ht="19.5" customHeight="1">
      <c r="A152" s="28"/>
      <c r="B152" s="38"/>
      <c r="C152" s="28"/>
      <c r="D152" s="39" t="str">
        <f>IFERROR(VLOOKUP(C152,①商品マスタ!$A$4:$I$106,2,0),"")</f>
        <v/>
      </c>
      <c r="E152" s="30"/>
      <c r="F152" s="40" t="str">
        <f>IFERROR(VLOOKUP(C152,①商品マスタ!$A$4:$I$106,5,0),"")</f>
        <v/>
      </c>
      <c r="G152" s="40" t="str">
        <f t="shared" si="4"/>
        <v/>
      </c>
      <c r="H152" s="28"/>
      <c r="I152" s="28"/>
    </row>
    <row r="153" spans="1:9" ht="19.5" customHeight="1">
      <c r="A153" s="24"/>
      <c r="B153" s="41"/>
      <c r="C153" s="24"/>
      <c r="D153" s="42" t="str">
        <f>IFERROR(VLOOKUP(C153,①商品マスタ!$A$4:$I$106,2,0),"")</f>
        <v/>
      </c>
      <c r="E153" s="26"/>
      <c r="F153" s="43" t="str">
        <f>IFERROR(VLOOKUP(C153,①商品マスタ!$A$4:$I$106,5,0),"")</f>
        <v/>
      </c>
      <c r="G153" s="43" t="str">
        <f t="shared" si="4"/>
        <v/>
      </c>
      <c r="H153" s="24"/>
      <c r="I153" s="24"/>
    </row>
    <row r="154" spans="1:9" ht="19.5" customHeight="1">
      <c r="A154" s="28"/>
      <c r="B154" s="38"/>
      <c r="C154" s="28"/>
      <c r="D154" s="39" t="str">
        <f>IFERROR(VLOOKUP(C154,①商品マスタ!$A$4:$I$106,2,0),"")</f>
        <v/>
      </c>
      <c r="E154" s="30"/>
      <c r="F154" s="40" t="str">
        <f>IFERROR(VLOOKUP(C154,①商品マスタ!$A$4:$I$106,5,0),"")</f>
        <v/>
      </c>
      <c r="G154" s="40" t="str">
        <f t="shared" si="4"/>
        <v/>
      </c>
      <c r="H154" s="28"/>
      <c r="I154" s="28"/>
    </row>
    <row r="155" spans="1:9" ht="19.5" customHeight="1">
      <c r="A155" s="24"/>
      <c r="B155" s="41"/>
      <c r="C155" s="24"/>
      <c r="D155" s="42" t="str">
        <f>IFERROR(VLOOKUP(C155,①商品マスタ!$A$4:$I$106,2,0),"")</f>
        <v/>
      </c>
      <c r="E155" s="26"/>
      <c r="F155" s="43" t="str">
        <f>IFERROR(VLOOKUP(C155,①商品マスタ!$A$4:$I$106,5,0),"")</f>
        <v/>
      </c>
      <c r="G155" s="43" t="str">
        <f t="shared" si="4"/>
        <v/>
      </c>
      <c r="H155" s="24"/>
      <c r="I155" s="24"/>
    </row>
    <row r="156" spans="1:9" ht="19.5" customHeight="1">
      <c r="A156" s="28"/>
      <c r="B156" s="38"/>
      <c r="C156" s="28"/>
      <c r="D156" s="39" t="str">
        <f>IFERROR(VLOOKUP(C156,①商品マスタ!$A$4:$I$106,2,0),"")</f>
        <v/>
      </c>
      <c r="E156" s="30"/>
      <c r="F156" s="40" t="str">
        <f>IFERROR(VLOOKUP(C156,①商品マスタ!$A$4:$I$106,5,0),"")</f>
        <v/>
      </c>
      <c r="G156" s="40" t="str">
        <f t="shared" si="4"/>
        <v/>
      </c>
      <c r="H156" s="28"/>
      <c r="I156" s="28"/>
    </row>
    <row r="157" spans="1:9" ht="19.5" customHeight="1">
      <c r="A157" s="24"/>
      <c r="B157" s="41"/>
      <c r="C157" s="24"/>
      <c r="D157" s="42" t="str">
        <f>IFERROR(VLOOKUP(C157,①商品マスタ!$A$4:$I$106,2,0),"")</f>
        <v/>
      </c>
      <c r="E157" s="26"/>
      <c r="F157" s="43" t="str">
        <f>IFERROR(VLOOKUP(C157,①商品マスタ!$A$4:$I$106,5,0),"")</f>
        <v/>
      </c>
      <c r="G157" s="43" t="str">
        <f t="shared" si="4"/>
        <v/>
      </c>
      <c r="H157" s="24"/>
      <c r="I157" s="24"/>
    </row>
    <row r="158" spans="1:9" ht="19.5" customHeight="1">
      <c r="A158" s="28"/>
      <c r="B158" s="38"/>
      <c r="C158" s="28"/>
      <c r="D158" s="39" t="str">
        <f>IFERROR(VLOOKUP(C158,①商品マスタ!$A$4:$I$106,2,0),"")</f>
        <v/>
      </c>
      <c r="E158" s="30"/>
      <c r="F158" s="40" t="str">
        <f>IFERROR(VLOOKUP(C158,①商品マスタ!$A$4:$I$106,5,0),"")</f>
        <v/>
      </c>
      <c r="G158" s="40" t="str">
        <f t="shared" si="4"/>
        <v/>
      </c>
      <c r="H158" s="28"/>
      <c r="I158" s="28"/>
    </row>
    <row r="159" spans="1:9" ht="19.5" customHeight="1">
      <c r="A159" s="24"/>
      <c r="B159" s="41"/>
      <c r="C159" s="24"/>
      <c r="D159" s="42" t="str">
        <f>IFERROR(VLOOKUP(C159,①商品マスタ!$A$4:$I$106,2,0),"")</f>
        <v/>
      </c>
      <c r="E159" s="26"/>
      <c r="F159" s="43" t="str">
        <f>IFERROR(VLOOKUP(C159,①商品マスタ!$A$4:$I$106,5,0),"")</f>
        <v/>
      </c>
      <c r="G159" s="43" t="str">
        <f t="shared" si="4"/>
        <v/>
      </c>
      <c r="H159" s="24"/>
      <c r="I159" s="24"/>
    </row>
    <row r="160" spans="1:9" ht="19.5" customHeight="1">
      <c r="A160" s="28"/>
      <c r="B160" s="38"/>
      <c r="C160" s="28"/>
      <c r="D160" s="39" t="str">
        <f>IFERROR(VLOOKUP(C160,①商品マスタ!$A$4:$I$106,2,0),"")</f>
        <v/>
      </c>
      <c r="E160" s="30"/>
      <c r="F160" s="40" t="str">
        <f>IFERROR(VLOOKUP(C160,①商品マスタ!$A$4:$I$106,5,0),"")</f>
        <v/>
      </c>
      <c r="G160" s="40" t="str">
        <f t="shared" si="4"/>
        <v/>
      </c>
      <c r="H160" s="28"/>
      <c r="I160" s="28"/>
    </row>
    <row r="161" spans="1:9" ht="19.5" customHeight="1">
      <c r="A161" s="24"/>
      <c r="B161" s="41"/>
      <c r="C161" s="24"/>
      <c r="D161" s="42" t="str">
        <f>IFERROR(VLOOKUP(C161,①商品マスタ!$A$4:$I$106,2,0),"")</f>
        <v/>
      </c>
      <c r="E161" s="26"/>
      <c r="F161" s="43" t="str">
        <f>IFERROR(VLOOKUP(C161,①商品マスタ!$A$4:$I$106,5,0),"")</f>
        <v/>
      </c>
      <c r="G161" s="43" t="str">
        <f t="shared" si="4"/>
        <v/>
      </c>
      <c r="H161" s="24"/>
      <c r="I161" s="24"/>
    </row>
    <row r="162" spans="1:9" ht="19.5" customHeight="1">
      <c r="A162" s="28"/>
      <c r="B162" s="38"/>
      <c r="C162" s="28"/>
      <c r="D162" s="39" t="str">
        <f>IFERROR(VLOOKUP(C162,①商品マスタ!$A$4:$I$106,2,0),"")</f>
        <v/>
      </c>
      <c r="E162" s="30"/>
      <c r="F162" s="40" t="str">
        <f>IFERROR(VLOOKUP(C162,①商品マスタ!$A$4:$I$106,5,0),"")</f>
        <v/>
      </c>
      <c r="G162" s="40" t="str">
        <f t="shared" si="4"/>
        <v/>
      </c>
      <c r="H162" s="28"/>
      <c r="I162" s="28"/>
    </row>
    <row r="163" spans="1:9" ht="19.5" customHeight="1">
      <c r="A163" s="24"/>
      <c r="B163" s="41"/>
      <c r="C163" s="24"/>
      <c r="D163" s="42" t="str">
        <f>IFERROR(VLOOKUP(C163,①商品マスタ!$A$4:$I$106,2,0),"")</f>
        <v/>
      </c>
      <c r="E163" s="26"/>
      <c r="F163" s="43" t="str">
        <f>IFERROR(VLOOKUP(C163,①商品マスタ!$A$4:$I$106,5,0),"")</f>
        <v/>
      </c>
      <c r="G163" s="43" t="str">
        <f t="shared" si="4"/>
        <v/>
      </c>
      <c r="H163" s="24"/>
      <c r="I163" s="24"/>
    </row>
    <row r="164" spans="1:9" ht="19.5" customHeight="1">
      <c r="A164" s="28"/>
      <c r="B164" s="38"/>
      <c r="C164" s="28"/>
      <c r="D164" s="39" t="str">
        <f>IFERROR(VLOOKUP(C164,①商品マスタ!$A$4:$I$106,2,0),"")</f>
        <v/>
      </c>
      <c r="E164" s="30"/>
      <c r="F164" s="40" t="str">
        <f>IFERROR(VLOOKUP(C164,①商品マスタ!$A$4:$I$106,5,0),"")</f>
        <v/>
      </c>
      <c r="G164" s="40" t="str">
        <f t="shared" ref="G164:G195" si="5">IFERROR(IF(AND(E164&lt;&gt;"",F164&lt;&gt;""),E164*F164,""),"")</f>
        <v/>
      </c>
      <c r="H164" s="28"/>
      <c r="I164" s="28"/>
    </row>
    <row r="165" spans="1:9" ht="19.5" customHeight="1">
      <c r="A165" s="24"/>
      <c r="B165" s="41"/>
      <c r="C165" s="24"/>
      <c r="D165" s="42" t="str">
        <f>IFERROR(VLOOKUP(C165,①商品マスタ!$A$4:$I$106,2,0),"")</f>
        <v/>
      </c>
      <c r="E165" s="26"/>
      <c r="F165" s="43" t="str">
        <f>IFERROR(VLOOKUP(C165,①商品マスタ!$A$4:$I$106,5,0),"")</f>
        <v/>
      </c>
      <c r="G165" s="43" t="str">
        <f t="shared" si="5"/>
        <v/>
      </c>
      <c r="H165" s="24"/>
      <c r="I165" s="24"/>
    </row>
    <row r="166" spans="1:9" ht="19.5" customHeight="1">
      <c r="A166" s="28"/>
      <c r="B166" s="38"/>
      <c r="C166" s="28"/>
      <c r="D166" s="39" t="str">
        <f>IFERROR(VLOOKUP(C166,①商品マスタ!$A$4:$I$106,2,0),"")</f>
        <v/>
      </c>
      <c r="E166" s="30"/>
      <c r="F166" s="40" t="str">
        <f>IFERROR(VLOOKUP(C166,①商品マスタ!$A$4:$I$106,5,0),"")</f>
        <v/>
      </c>
      <c r="G166" s="40" t="str">
        <f t="shared" si="5"/>
        <v/>
      </c>
      <c r="H166" s="28"/>
      <c r="I166" s="28"/>
    </row>
    <row r="167" spans="1:9" ht="19.5" customHeight="1">
      <c r="A167" s="24"/>
      <c r="B167" s="41"/>
      <c r="C167" s="24"/>
      <c r="D167" s="42" t="str">
        <f>IFERROR(VLOOKUP(C167,①商品マスタ!$A$4:$I$106,2,0),"")</f>
        <v/>
      </c>
      <c r="E167" s="26"/>
      <c r="F167" s="43" t="str">
        <f>IFERROR(VLOOKUP(C167,①商品マスタ!$A$4:$I$106,5,0),"")</f>
        <v/>
      </c>
      <c r="G167" s="43" t="str">
        <f t="shared" si="5"/>
        <v/>
      </c>
      <c r="H167" s="24"/>
      <c r="I167" s="24"/>
    </row>
    <row r="168" spans="1:9" ht="19.5" customHeight="1">
      <c r="A168" s="28"/>
      <c r="B168" s="38"/>
      <c r="C168" s="28"/>
      <c r="D168" s="39" t="str">
        <f>IFERROR(VLOOKUP(C168,①商品マスタ!$A$4:$I$106,2,0),"")</f>
        <v/>
      </c>
      <c r="E168" s="30"/>
      <c r="F168" s="40" t="str">
        <f>IFERROR(VLOOKUP(C168,①商品マスタ!$A$4:$I$106,5,0),"")</f>
        <v/>
      </c>
      <c r="G168" s="40" t="str">
        <f t="shared" si="5"/>
        <v/>
      </c>
      <c r="H168" s="28"/>
      <c r="I168" s="28"/>
    </row>
    <row r="169" spans="1:9" ht="19.5" customHeight="1">
      <c r="A169" s="24"/>
      <c r="B169" s="41"/>
      <c r="C169" s="24"/>
      <c r="D169" s="42" t="str">
        <f>IFERROR(VLOOKUP(C169,①商品マスタ!$A$4:$I$106,2,0),"")</f>
        <v/>
      </c>
      <c r="E169" s="26"/>
      <c r="F169" s="43" t="str">
        <f>IFERROR(VLOOKUP(C169,①商品マスタ!$A$4:$I$106,5,0),"")</f>
        <v/>
      </c>
      <c r="G169" s="43" t="str">
        <f t="shared" si="5"/>
        <v/>
      </c>
      <c r="H169" s="24"/>
      <c r="I169" s="24"/>
    </row>
    <row r="170" spans="1:9" ht="19.5" customHeight="1">
      <c r="A170" s="28"/>
      <c r="B170" s="38"/>
      <c r="C170" s="28"/>
      <c r="D170" s="39" t="str">
        <f>IFERROR(VLOOKUP(C170,①商品マスタ!$A$4:$I$106,2,0),"")</f>
        <v/>
      </c>
      <c r="E170" s="30"/>
      <c r="F170" s="40" t="str">
        <f>IFERROR(VLOOKUP(C170,①商品マスタ!$A$4:$I$106,5,0),"")</f>
        <v/>
      </c>
      <c r="G170" s="40" t="str">
        <f t="shared" si="5"/>
        <v/>
      </c>
      <c r="H170" s="28"/>
      <c r="I170" s="28"/>
    </row>
    <row r="171" spans="1:9" ht="19.5" customHeight="1">
      <c r="A171" s="24"/>
      <c r="B171" s="41"/>
      <c r="C171" s="24"/>
      <c r="D171" s="42" t="str">
        <f>IFERROR(VLOOKUP(C171,①商品マスタ!$A$4:$I$106,2,0),"")</f>
        <v/>
      </c>
      <c r="E171" s="26"/>
      <c r="F171" s="43" t="str">
        <f>IFERROR(VLOOKUP(C171,①商品マスタ!$A$4:$I$106,5,0),"")</f>
        <v/>
      </c>
      <c r="G171" s="43" t="str">
        <f t="shared" si="5"/>
        <v/>
      </c>
      <c r="H171" s="24"/>
      <c r="I171" s="24"/>
    </row>
    <row r="172" spans="1:9" ht="19.5" customHeight="1">
      <c r="A172" s="28"/>
      <c r="B172" s="38"/>
      <c r="C172" s="28"/>
      <c r="D172" s="39" t="str">
        <f>IFERROR(VLOOKUP(C172,①商品マスタ!$A$4:$I$106,2,0),"")</f>
        <v/>
      </c>
      <c r="E172" s="30"/>
      <c r="F172" s="40" t="str">
        <f>IFERROR(VLOOKUP(C172,①商品マスタ!$A$4:$I$106,5,0),"")</f>
        <v/>
      </c>
      <c r="G172" s="40" t="str">
        <f t="shared" si="5"/>
        <v/>
      </c>
      <c r="H172" s="28"/>
      <c r="I172" s="28"/>
    </row>
    <row r="173" spans="1:9" ht="19.5" customHeight="1">
      <c r="A173" s="24"/>
      <c r="B173" s="41"/>
      <c r="C173" s="24"/>
      <c r="D173" s="42" t="str">
        <f>IFERROR(VLOOKUP(C173,①商品マスタ!$A$4:$I$106,2,0),"")</f>
        <v/>
      </c>
      <c r="E173" s="26"/>
      <c r="F173" s="43" t="str">
        <f>IFERROR(VLOOKUP(C173,①商品マスタ!$A$4:$I$106,5,0),"")</f>
        <v/>
      </c>
      <c r="G173" s="43" t="str">
        <f t="shared" si="5"/>
        <v/>
      </c>
      <c r="H173" s="24"/>
      <c r="I173" s="24"/>
    </row>
    <row r="174" spans="1:9" ht="19.5" customHeight="1">
      <c r="A174" s="28"/>
      <c r="B174" s="38"/>
      <c r="C174" s="28"/>
      <c r="D174" s="39" t="str">
        <f>IFERROR(VLOOKUP(C174,①商品マスタ!$A$4:$I$106,2,0),"")</f>
        <v/>
      </c>
      <c r="E174" s="30"/>
      <c r="F174" s="40" t="str">
        <f>IFERROR(VLOOKUP(C174,①商品マスタ!$A$4:$I$106,5,0),"")</f>
        <v/>
      </c>
      <c r="G174" s="40" t="str">
        <f t="shared" si="5"/>
        <v/>
      </c>
      <c r="H174" s="28"/>
      <c r="I174" s="28"/>
    </row>
    <row r="175" spans="1:9" ht="19.5" customHeight="1">
      <c r="A175" s="24"/>
      <c r="B175" s="41"/>
      <c r="C175" s="24"/>
      <c r="D175" s="42" t="str">
        <f>IFERROR(VLOOKUP(C175,①商品マスタ!$A$4:$I$106,2,0),"")</f>
        <v/>
      </c>
      <c r="E175" s="26"/>
      <c r="F175" s="43" t="str">
        <f>IFERROR(VLOOKUP(C175,①商品マスタ!$A$4:$I$106,5,0),"")</f>
        <v/>
      </c>
      <c r="G175" s="43" t="str">
        <f t="shared" si="5"/>
        <v/>
      </c>
      <c r="H175" s="24"/>
      <c r="I175" s="24"/>
    </row>
    <row r="176" spans="1:9" ht="19.5" customHeight="1">
      <c r="A176" s="28"/>
      <c r="B176" s="38"/>
      <c r="C176" s="28"/>
      <c r="D176" s="39" t="str">
        <f>IFERROR(VLOOKUP(C176,①商品マスタ!$A$4:$I$106,2,0),"")</f>
        <v/>
      </c>
      <c r="E176" s="30"/>
      <c r="F176" s="40" t="str">
        <f>IFERROR(VLOOKUP(C176,①商品マスタ!$A$4:$I$106,5,0),"")</f>
        <v/>
      </c>
      <c r="G176" s="40" t="str">
        <f t="shared" si="5"/>
        <v/>
      </c>
      <c r="H176" s="28"/>
      <c r="I176" s="28"/>
    </row>
    <row r="177" spans="1:9" ht="19.5" customHeight="1">
      <c r="A177" s="24"/>
      <c r="B177" s="41"/>
      <c r="C177" s="24"/>
      <c r="D177" s="42" t="str">
        <f>IFERROR(VLOOKUP(C177,①商品マスタ!$A$4:$I$106,2,0),"")</f>
        <v/>
      </c>
      <c r="E177" s="26"/>
      <c r="F177" s="43" t="str">
        <f>IFERROR(VLOOKUP(C177,①商品マスタ!$A$4:$I$106,5,0),"")</f>
        <v/>
      </c>
      <c r="G177" s="43" t="str">
        <f t="shared" si="5"/>
        <v/>
      </c>
      <c r="H177" s="24"/>
      <c r="I177" s="24"/>
    </row>
    <row r="178" spans="1:9" ht="19.5" customHeight="1">
      <c r="A178" s="28"/>
      <c r="B178" s="38"/>
      <c r="C178" s="28"/>
      <c r="D178" s="39" t="str">
        <f>IFERROR(VLOOKUP(C178,①商品マスタ!$A$4:$I$106,2,0),"")</f>
        <v/>
      </c>
      <c r="E178" s="30"/>
      <c r="F178" s="40" t="str">
        <f>IFERROR(VLOOKUP(C178,①商品マスタ!$A$4:$I$106,5,0),"")</f>
        <v/>
      </c>
      <c r="G178" s="40" t="str">
        <f t="shared" si="5"/>
        <v/>
      </c>
      <c r="H178" s="28"/>
      <c r="I178" s="28"/>
    </row>
    <row r="179" spans="1:9" ht="19.5" customHeight="1">
      <c r="A179" s="24"/>
      <c r="B179" s="41"/>
      <c r="C179" s="24"/>
      <c r="D179" s="42" t="str">
        <f>IFERROR(VLOOKUP(C179,①商品マスタ!$A$4:$I$106,2,0),"")</f>
        <v/>
      </c>
      <c r="E179" s="26"/>
      <c r="F179" s="43" t="str">
        <f>IFERROR(VLOOKUP(C179,①商品マスタ!$A$4:$I$106,5,0),"")</f>
        <v/>
      </c>
      <c r="G179" s="43" t="str">
        <f t="shared" si="5"/>
        <v/>
      </c>
      <c r="H179" s="24"/>
      <c r="I179" s="24"/>
    </row>
    <row r="180" spans="1:9" ht="19.5" customHeight="1">
      <c r="A180" s="28"/>
      <c r="B180" s="38"/>
      <c r="C180" s="28"/>
      <c r="D180" s="39" t="str">
        <f>IFERROR(VLOOKUP(C180,①商品マスタ!$A$4:$I$106,2,0),"")</f>
        <v/>
      </c>
      <c r="E180" s="30"/>
      <c r="F180" s="40" t="str">
        <f>IFERROR(VLOOKUP(C180,①商品マスタ!$A$4:$I$106,5,0),"")</f>
        <v/>
      </c>
      <c r="G180" s="40" t="str">
        <f t="shared" si="5"/>
        <v/>
      </c>
      <c r="H180" s="28"/>
      <c r="I180" s="28"/>
    </row>
    <row r="181" spans="1:9" ht="19.5" customHeight="1">
      <c r="A181" s="24"/>
      <c r="B181" s="41"/>
      <c r="C181" s="24"/>
      <c r="D181" s="42" t="str">
        <f>IFERROR(VLOOKUP(C181,①商品マスタ!$A$4:$I$106,2,0),"")</f>
        <v/>
      </c>
      <c r="E181" s="26"/>
      <c r="F181" s="43" t="str">
        <f>IFERROR(VLOOKUP(C181,①商品マスタ!$A$4:$I$106,5,0),"")</f>
        <v/>
      </c>
      <c r="G181" s="43" t="str">
        <f t="shared" si="5"/>
        <v/>
      </c>
      <c r="H181" s="24"/>
      <c r="I181" s="24"/>
    </row>
    <row r="182" spans="1:9" ht="19.5" customHeight="1">
      <c r="A182" s="28"/>
      <c r="B182" s="38"/>
      <c r="C182" s="28"/>
      <c r="D182" s="39" t="str">
        <f>IFERROR(VLOOKUP(C182,①商品マスタ!$A$4:$I$106,2,0),"")</f>
        <v/>
      </c>
      <c r="E182" s="30"/>
      <c r="F182" s="40" t="str">
        <f>IFERROR(VLOOKUP(C182,①商品マスタ!$A$4:$I$106,5,0),"")</f>
        <v/>
      </c>
      <c r="G182" s="40" t="str">
        <f t="shared" si="5"/>
        <v/>
      </c>
      <c r="H182" s="28"/>
      <c r="I182" s="28"/>
    </row>
    <row r="183" spans="1:9" ht="19.5" customHeight="1">
      <c r="A183" s="24"/>
      <c r="B183" s="41"/>
      <c r="C183" s="24"/>
      <c r="D183" s="42" t="str">
        <f>IFERROR(VLOOKUP(C183,①商品マスタ!$A$4:$I$106,2,0),"")</f>
        <v/>
      </c>
      <c r="E183" s="26"/>
      <c r="F183" s="43" t="str">
        <f>IFERROR(VLOOKUP(C183,①商品マスタ!$A$4:$I$106,5,0),"")</f>
        <v/>
      </c>
      <c r="G183" s="43" t="str">
        <f t="shared" si="5"/>
        <v/>
      </c>
      <c r="H183" s="24"/>
      <c r="I183" s="24"/>
    </row>
    <row r="184" spans="1:9" ht="19.5" customHeight="1">
      <c r="A184" s="28"/>
      <c r="B184" s="38"/>
      <c r="C184" s="28"/>
      <c r="D184" s="39" t="str">
        <f>IFERROR(VLOOKUP(C184,①商品マスタ!$A$4:$I$106,2,0),"")</f>
        <v/>
      </c>
      <c r="E184" s="30"/>
      <c r="F184" s="40" t="str">
        <f>IFERROR(VLOOKUP(C184,①商品マスタ!$A$4:$I$106,5,0),"")</f>
        <v/>
      </c>
      <c r="G184" s="40" t="str">
        <f t="shared" si="5"/>
        <v/>
      </c>
      <c r="H184" s="28"/>
      <c r="I184" s="28"/>
    </row>
    <row r="185" spans="1:9" ht="19.5" customHeight="1">
      <c r="A185" s="24"/>
      <c r="B185" s="41"/>
      <c r="C185" s="24"/>
      <c r="D185" s="42" t="str">
        <f>IFERROR(VLOOKUP(C185,①商品マスタ!$A$4:$I$106,2,0),"")</f>
        <v/>
      </c>
      <c r="E185" s="26"/>
      <c r="F185" s="43" t="str">
        <f>IFERROR(VLOOKUP(C185,①商品マスタ!$A$4:$I$106,5,0),"")</f>
        <v/>
      </c>
      <c r="G185" s="43" t="str">
        <f t="shared" si="5"/>
        <v/>
      </c>
      <c r="H185" s="24"/>
      <c r="I185" s="24"/>
    </row>
    <row r="186" spans="1:9" ht="19.5" customHeight="1">
      <c r="A186" s="28"/>
      <c r="B186" s="38"/>
      <c r="C186" s="28"/>
      <c r="D186" s="39" t="str">
        <f>IFERROR(VLOOKUP(C186,①商品マスタ!$A$4:$I$106,2,0),"")</f>
        <v/>
      </c>
      <c r="E186" s="30"/>
      <c r="F186" s="40" t="str">
        <f>IFERROR(VLOOKUP(C186,①商品マスタ!$A$4:$I$106,5,0),"")</f>
        <v/>
      </c>
      <c r="G186" s="40" t="str">
        <f t="shared" si="5"/>
        <v/>
      </c>
      <c r="H186" s="28"/>
      <c r="I186" s="28"/>
    </row>
    <row r="187" spans="1:9" ht="19.5" customHeight="1">
      <c r="A187" s="24"/>
      <c r="B187" s="41"/>
      <c r="C187" s="24"/>
      <c r="D187" s="42" t="str">
        <f>IFERROR(VLOOKUP(C187,①商品マスタ!$A$4:$I$106,2,0),"")</f>
        <v/>
      </c>
      <c r="E187" s="26"/>
      <c r="F187" s="43" t="str">
        <f>IFERROR(VLOOKUP(C187,①商品マスタ!$A$4:$I$106,5,0),"")</f>
        <v/>
      </c>
      <c r="G187" s="43" t="str">
        <f t="shared" si="5"/>
        <v/>
      </c>
      <c r="H187" s="24"/>
      <c r="I187" s="24"/>
    </row>
    <row r="188" spans="1:9" ht="19.5" customHeight="1">
      <c r="A188" s="28"/>
      <c r="B188" s="38"/>
      <c r="C188" s="28"/>
      <c r="D188" s="39" t="str">
        <f>IFERROR(VLOOKUP(C188,①商品マスタ!$A$4:$I$106,2,0),"")</f>
        <v/>
      </c>
      <c r="E188" s="30"/>
      <c r="F188" s="40" t="str">
        <f>IFERROR(VLOOKUP(C188,①商品マスタ!$A$4:$I$106,5,0),"")</f>
        <v/>
      </c>
      <c r="G188" s="40" t="str">
        <f t="shared" si="5"/>
        <v/>
      </c>
      <c r="H188" s="28"/>
      <c r="I188" s="28"/>
    </row>
    <row r="189" spans="1:9" ht="19.5" customHeight="1">
      <c r="A189" s="24"/>
      <c r="B189" s="41"/>
      <c r="C189" s="24"/>
      <c r="D189" s="42" t="str">
        <f>IFERROR(VLOOKUP(C189,①商品マスタ!$A$4:$I$106,2,0),"")</f>
        <v/>
      </c>
      <c r="E189" s="26"/>
      <c r="F189" s="43" t="str">
        <f>IFERROR(VLOOKUP(C189,①商品マスタ!$A$4:$I$106,5,0),"")</f>
        <v/>
      </c>
      <c r="G189" s="43" t="str">
        <f t="shared" si="5"/>
        <v/>
      </c>
      <c r="H189" s="24"/>
      <c r="I189" s="24"/>
    </row>
    <row r="190" spans="1:9" ht="19.5" customHeight="1">
      <c r="A190" s="28"/>
      <c r="B190" s="38"/>
      <c r="C190" s="28"/>
      <c r="D190" s="39" t="str">
        <f>IFERROR(VLOOKUP(C190,①商品マスタ!$A$4:$I$106,2,0),"")</f>
        <v/>
      </c>
      <c r="E190" s="30"/>
      <c r="F190" s="40" t="str">
        <f>IFERROR(VLOOKUP(C190,①商品マスタ!$A$4:$I$106,5,0),"")</f>
        <v/>
      </c>
      <c r="G190" s="40" t="str">
        <f t="shared" si="5"/>
        <v/>
      </c>
      <c r="H190" s="28"/>
      <c r="I190" s="28"/>
    </row>
    <row r="191" spans="1:9" ht="19.5" customHeight="1">
      <c r="A191" s="24"/>
      <c r="B191" s="41"/>
      <c r="C191" s="24"/>
      <c r="D191" s="42" t="str">
        <f>IFERROR(VLOOKUP(C191,①商品マスタ!$A$4:$I$106,2,0),"")</f>
        <v/>
      </c>
      <c r="E191" s="26"/>
      <c r="F191" s="43" t="str">
        <f>IFERROR(VLOOKUP(C191,①商品マスタ!$A$4:$I$106,5,0),"")</f>
        <v/>
      </c>
      <c r="G191" s="43" t="str">
        <f t="shared" si="5"/>
        <v/>
      </c>
      <c r="H191" s="24"/>
      <c r="I191" s="24"/>
    </row>
    <row r="192" spans="1:9" ht="19.5" customHeight="1">
      <c r="A192" s="28"/>
      <c r="B192" s="38"/>
      <c r="C192" s="28"/>
      <c r="D192" s="39" t="str">
        <f>IFERROR(VLOOKUP(C192,①商品マスタ!$A$4:$I$106,2,0),"")</f>
        <v/>
      </c>
      <c r="E192" s="30"/>
      <c r="F192" s="40" t="str">
        <f>IFERROR(VLOOKUP(C192,①商品マスタ!$A$4:$I$106,5,0),"")</f>
        <v/>
      </c>
      <c r="G192" s="40" t="str">
        <f t="shared" si="5"/>
        <v/>
      </c>
      <c r="H192" s="28"/>
      <c r="I192" s="28"/>
    </row>
    <row r="193" spans="1:9" ht="19.5" customHeight="1">
      <c r="A193" s="24"/>
      <c r="B193" s="41"/>
      <c r="C193" s="24"/>
      <c r="D193" s="42" t="str">
        <f>IFERROR(VLOOKUP(C193,①商品マスタ!$A$4:$I$106,2,0),"")</f>
        <v/>
      </c>
      <c r="E193" s="26"/>
      <c r="F193" s="43" t="str">
        <f>IFERROR(VLOOKUP(C193,①商品マスタ!$A$4:$I$106,5,0),"")</f>
        <v/>
      </c>
      <c r="G193" s="43" t="str">
        <f t="shared" si="5"/>
        <v/>
      </c>
      <c r="H193" s="24"/>
      <c r="I193" s="24"/>
    </row>
    <row r="194" spans="1:9" ht="19.5" customHeight="1">
      <c r="A194" s="28"/>
      <c r="B194" s="38"/>
      <c r="C194" s="28"/>
      <c r="D194" s="39" t="str">
        <f>IFERROR(VLOOKUP(C194,①商品マスタ!$A$4:$I$106,2,0),"")</f>
        <v/>
      </c>
      <c r="E194" s="30"/>
      <c r="F194" s="40" t="str">
        <f>IFERROR(VLOOKUP(C194,①商品マスタ!$A$4:$I$106,5,0),"")</f>
        <v/>
      </c>
      <c r="G194" s="40" t="str">
        <f t="shared" si="5"/>
        <v/>
      </c>
      <c r="H194" s="28"/>
      <c r="I194" s="28"/>
    </row>
    <row r="195" spans="1:9" ht="19.5" customHeight="1">
      <c r="A195" s="24"/>
      <c r="B195" s="41"/>
      <c r="C195" s="24"/>
      <c r="D195" s="42" t="str">
        <f>IFERROR(VLOOKUP(C195,①商品マスタ!$A$4:$I$106,2,0),"")</f>
        <v/>
      </c>
      <c r="E195" s="26"/>
      <c r="F195" s="43" t="str">
        <f>IFERROR(VLOOKUP(C195,①商品マスタ!$A$4:$I$106,5,0),"")</f>
        <v/>
      </c>
      <c r="G195" s="43" t="str">
        <f t="shared" si="5"/>
        <v/>
      </c>
      <c r="H195" s="24"/>
      <c r="I195" s="24"/>
    </row>
    <row r="196" spans="1:9" ht="19.5" customHeight="1">
      <c r="A196" s="28"/>
      <c r="B196" s="38"/>
      <c r="C196" s="28"/>
      <c r="D196" s="39" t="str">
        <f>IFERROR(VLOOKUP(C196,①商品マスタ!$A$4:$I$106,2,0),"")</f>
        <v/>
      </c>
      <c r="E196" s="30"/>
      <c r="F196" s="40" t="str">
        <f>IFERROR(VLOOKUP(C196,①商品マスタ!$A$4:$I$106,5,0),"")</f>
        <v/>
      </c>
      <c r="G196" s="40" t="str">
        <f t="shared" ref="G196:G227" si="6">IFERROR(IF(AND(E196&lt;&gt;"",F196&lt;&gt;""),E196*F196,""),"")</f>
        <v/>
      </c>
      <c r="H196" s="28"/>
      <c r="I196" s="28"/>
    </row>
    <row r="197" spans="1:9" ht="19.5" customHeight="1">
      <c r="A197" s="24"/>
      <c r="B197" s="41"/>
      <c r="C197" s="24"/>
      <c r="D197" s="42" t="str">
        <f>IFERROR(VLOOKUP(C197,①商品マスタ!$A$4:$I$106,2,0),"")</f>
        <v/>
      </c>
      <c r="E197" s="26"/>
      <c r="F197" s="43" t="str">
        <f>IFERROR(VLOOKUP(C197,①商品マスタ!$A$4:$I$106,5,0),"")</f>
        <v/>
      </c>
      <c r="G197" s="43" t="str">
        <f t="shared" si="6"/>
        <v/>
      </c>
      <c r="H197" s="24"/>
      <c r="I197" s="24"/>
    </row>
    <row r="198" spans="1:9" ht="19.5" customHeight="1">
      <c r="A198" s="28"/>
      <c r="B198" s="38"/>
      <c r="C198" s="28"/>
      <c r="D198" s="39" t="str">
        <f>IFERROR(VLOOKUP(C198,①商品マスタ!$A$4:$I$106,2,0),"")</f>
        <v/>
      </c>
      <c r="E198" s="30"/>
      <c r="F198" s="40" t="str">
        <f>IFERROR(VLOOKUP(C198,①商品マスタ!$A$4:$I$106,5,0),"")</f>
        <v/>
      </c>
      <c r="G198" s="40" t="str">
        <f t="shared" si="6"/>
        <v/>
      </c>
      <c r="H198" s="28"/>
      <c r="I198" s="28"/>
    </row>
    <row r="199" spans="1:9" ht="19.5" customHeight="1">
      <c r="A199" s="24"/>
      <c r="B199" s="41"/>
      <c r="C199" s="24"/>
      <c r="D199" s="42" t="str">
        <f>IFERROR(VLOOKUP(C199,①商品マスタ!$A$4:$I$106,2,0),"")</f>
        <v/>
      </c>
      <c r="E199" s="26"/>
      <c r="F199" s="43" t="str">
        <f>IFERROR(VLOOKUP(C199,①商品マスタ!$A$4:$I$106,5,0),"")</f>
        <v/>
      </c>
      <c r="G199" s="43" t="str">
        <f t="shared" si="6"/>
        <v/>
      </c>
      <c r="H199" s="24"/>
      <c r="I199" s="24"/>
    </row>
    <row r="200" spans="1:9" ht="19.5" customHeight="1">
      <c r="A200" s="28"/>
      <c r="B200" s="38"/>
      <c r="C200" s="28"/>
      <c r="D200" s="39" t="str">
        <f>IFERROR(VLOOKUP(C200,①商品マスタ!$A$4:$I$106,2,0),"")</f>
        <v/>
      </c>
      <c r="E200" s="30"/>
      <c r="F200" s="40" t="str">
        <f>IFERROR(VLOOKUP(C200,①商品マスタ!$A$4:$I$106,5,0),"")</f>
        <v/>
      </c>
      <c r="G200" s="40" t="str">
        <f t="shared" si="6"/>
        <v/>
      </c>
      <c r="H200" s="28"/>
      <c r="I200" s="28"/>
    </row>
    <row r="201" spans="1:9" ht="19.5" customHeight="1">
      <c r="A201" s="24"/>
      <c r="B201" s="41"/>
      <c r="C201" s="24"/>
      <c r="D201" s="42" t="str">
        <f>IFERROR(VLOOKUP(C201,①商品マスタ!$A$4:$I$106,2,0),"")</f>
        <v/>
      </c>
      <c r="E201" s="26"/>
      <c r="F201" s="43" t="str">
        <f>IFERROR(VLOOKUP(C201,①商品マスタ!$A$4:$I$106,5,0),"")</f>
        <v/>
      </c>
      <c r="G201" s="43" t="str">
        <f t="shared" si="6"/>
        <v/>
      </c>
      <c r="H201" s="24"/>
      <c r="I201" s="24"/>
    </row>
    <row r="202" spans="1:9" ht="19.5" customHeight="1">
      <c r="A202" s="28"/>
      <c r="B202" s="38"/>
      <c r="C202" s="28"/>
      <c r="D202" s="39" t="str">
        <f>IFERROR(VLOOKUP(C202,①商品マスタ!$A$4:$I$106,2,0),"")</f>
        <v/>
      </c>
      <c r="E202" s="30"/>
      <c r="F202" s="40" t="str">
        <f>IFERROR(VLOOKUP(C202,①商品マスタ!$A$4:$I$106,5,0),"")</f>
        <v/>
      </c>
      <c r="G202" s="40" t="str">
        <f t="shared" si="6"/>
        <v/>
      </c>
      <c r="H202" s="28"/>
      <c r="I202" s="28"/>
    </row>
    <row r="203" spans="1:9" ht="19.5" customHeight="1">
      <c r="A203" s="24"/>
      <c r="B203" s="41"/>
      <c r="C203" s="24"/>
      <c r="D203" s="42" t="str">
        <f>IFERROR(VLOOKUP(C203,①商品マスタ!$A$4:$I$106,2,0),"")</f>
        <v/>
      </c>
      <c r="E203" s="26"/>
      <c r="F203" s="43" t="str">
        <f>IFERROR(VLOOKUP(C203,①商品マスタ!$A$4:$I$106,5,0),"")</f>
        <v/>
      </c>
      <c r="G203" s="43" t="str">
        <f t="shared" si="6"/>
        <v/>
      </c>
      <c r="H203" s="24"/>
      <c r="I203" s="24"/>
    </row>
  </sheetData>
  <mergeCells count="2">
    <mergeCell ref="A1:J1"/>
    <mergeCell ref="A2:J2"/>
  </mergeCells>
  <phoneticPr fontId="22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235"/>
  </sheetPr>
  <dimension ref="A1:J106"/>
  <sheetViews>
    <sheetView zoomScaleNormal="100" workbookViewId="0">
      <pane ySplit="3" topLeftCell="A4" activePane="bottomLeft" state="frozen"/>
      <selection pane="bottomLeft" sqref="A1:J1"/>
    </sheetView>
  </sheetViews>
  <sheetFormatPr defaultColWidth="8.6328125" defaultRowHeight="14.5"/>
  <cols>
    <col min="1" max="1" width="14" customWidth="1"/>
    <col min="2" max="2" width="24" customWidth="1"/>
    <col min="3" max="4" width="14" customWidth="1"/>
    <col min="5" max="8" width="16" customWidth="1"/>
    <col min="9" max="9" width="20" customWidth="1"/>
  </cols>
  <sheetData>
    <row r="1" spans="1:10" ht="24" customHeight="1">
      <c r="A1" s="2" t="s">
        <v>96</v>
      </c>
      <c r="B1" s="2"/>
      <c r="C1" s="2"/>
      <c r="D1" s="2"/>
      <c r="E1" s="2"/>
      <c r="F1" s="2"/>
      <c r="G1" s="2"/>
      <c r="H1" s="2"/>
      <c r="I1" s="2"/>
      <c r="J1" s="2"/>
    </row>
    <row r="2" spans="1:10" ht="15.75" customHeight="1">
      <c r="A2" s="1" t="s">
        <v>97</v>
      </c>
      <c r="B2" s="1"/>
      <c r="C2" s="1"/>
      <c r="D2" s="1"/>
      <c r="E2" s="1"/>
      <c r="F2" s="1"/>
      <c r="G2" s="1"/>
      <c r="H2" s="1"/>
      <c r="I2" s="1"/>
      <c r="J2" s="1"/>
    </row>
    <row r="3" spans="1:10" ht="27.75" customHeight="1">
      <c r="A3" s="15" t="s">
        <v>98</v>
      </c>
      <c r="B3" s="15" t="s">
        <v>82</v>
      </c>
      <c r="C3" s="15" t="s">
        <v>46</v>
      </c>
      <c r="D3" s="15" t="s">
        <v>45</v>
      </c>
      <c r="E3" s="15" t="s">
        <v>99</v>
      </c>
      <c r="F3" s="15" t="s">
        <v>100</v>
      </c>
      <c r="G3" s="15" t="s">
        <v>101</v>
      </c>
      <c r="H3" s="15" t="s">
        <v>102</v>
      </c>
      <c r="I3" s="15" t="s">
        <v>47</v>
      </c>
    </row>
    <row r="4" spans="1:10" ht="19.5" customHeight="1">
      <c r="A4" s="44" t="str">
        <f>IFERROR(①商品マスタ!A4,"")</f>
        <v>P001</v>
      </c>
      <c r="B4" s="45" t="str">
        <f>IFERROR(①商品マスタ!B4,"")</f>
        <v>商品A</v>
      </c>
      <c r="C4" s="31" t="str">
        <f>IFERROR(①商品マスタ!H4,"")</f>
        <v>管理する</v>
      </c>
      <c r="D4" s="31">
        <f>IFERROR(①商品マスタ!G4,"")</f>
        <v>10</v>
      </c>
      <c r="E4" s="46">
        <f>IFERROR(SUMIF(③入庫管理!$C$4:$C$205,A4,③入庫管理!$E$4:$E$205),0)</f>
        <v>50</v>
      </c>
      <c r="F4" s="46">
        <f>IFERROR(SUMIF(④出庫管理!$C$4:$C$203,A4,④出庫管理!$E$4:$E$203),0)</f>
        <v>0</v>
      </c>
      <c r="G4" s="44">
        <f t="shared" ref="G4:G35" si="0">IFERROR(IF(A4="","",E4-F4),"")</f>
        <v>50</v>
      </c>
      <c r="H4" s="30" t="str">
        <f t="shared" ref="H4:H35" si="1">IFERROR(IF(A4="","",IF(C4="管理しない","対象外",IF(G4&lt;=0,"⚠ 在庫なし",IF(G4&lt;=D4,"⚠ 要発注","OK")))),"")</f>
        <v>OK</v>
      </c>
      <c r="I4" s="45"/>
    </row>
    <row r="5" spans="1:10" ht="19.5" customHeight="1">
      <c r="A5" s="47" t="str">
        <f>IFERROR(①商品マスタ!A5,"")</f>
        <v>P002</v>
      </c>
      <c r="B5" s="48" t="str">
        <f>IFERROR(①商品マスタ!B5,"")</f>
        <v>商品B</v>
      </c>
      <c r="C5" s="27" t="str">
        <f>IFERROR(①商品マスタ!H5,"")</f>
        <v>管理する</v>
      </c>
      <c r="D5" s="27">
        <f>IFERROR(①商品マスタ!G5,"")</f>
        <v>5</v>
      </c>
      <c r="E5" s="49">
        <f>IFERROR(SUMIF(③入庫管理!$C$4:$C$205,A5,③入庫管理!$E$4:$E$205),0)</f>
        <v>20</v>
      </c>
      <c r="F5" s="49">
        <f>IFERROR(SUMIF(④出庫管理!$C$4:$C$203,A5,④出庫管理!$E$4:$E$203),0)</f>
        <v>0</v>
      </c>
      <c r="G5" s="47">
        <f t="shared" si="0"/>
        <v>20</v>
      </c>
      <c r="H5" s="26" t="str">
        <f t="shared" si="1"/>
        <v>OK</v>
      </c>
      <c r="I5" s="48"/>
    </row>
    <row r="6" spans="1:10" ht="19.5" customHeight="1">
      <c r="A6" s="44" t="str">
        <f>IFERROR(①商品マスタ!A6,"")</f>
        <v>P003</v>
      </c>
      <c r="B6" s="45" t="str">
        <f>IFERROR(①商品マスタ!B6,"")</f>
        <v>商品C</v>
      </c>
      <c r="C6" s="31" t="str">
        <f>IFERROR(①商品マスタ!H6,"")</f>
        <v>管理しない</v>
      </c>
      <c r="D6" s="31">
        <f>IFERROR(①商品マスタ!G6,"")</f>
        <v>0</v>
      </c>
      <c r="E6" s="46">
        <f>IFERROR(SUMIF(③入庫管理!$C$4:$C$205,A6,③入庫管理!$E$4:$E$205),0)</f>
        <v>0</v>
      </c>
      <c r="F6" s="46">
        <f>IFERROR(SUMIF(④出庫管理!$C$4:$C$203,A6,④出庫管理!$E$4:$E$203),0)</f>
        <v>0</v>
      </c>
      <c r="G6" s="44">
        <f t="shared" si="0"/>
        <v>0</v>
      </c>
      <c r="H6" s="30" t="str">
        <f t="shared" si="1"/>
        <v>対象外</v>
      </c>
      <c r="I6" s="45"/>
    </row>
    <row r="7" spans="1:10" ht="19.5" customHeight="1">
      <c r="A7" s="47">
        <f>IFERROR(①商品マスタ!A7,"")</f>
        <v>0</v>
      </c>
      <c r="B7" s="48">
        <f>IFERROR(①商品マスタ!B7,"")</f>
        <v>0</v>
      </c>
      <c r="C7" s="27" t="str">
        <f>IFERROR(①商品マスタ!H7,"")</f>
        <v>管理する</v>
      </c>
      <c r="D7" s="27">
        <f>IFERROR(①商品マスタ!G7,"")</f>
        <v>0</v>
      </c>
      <c r="E7" s="49">
        <f>IFERROR(SUMIF(③入庫管理!$C$4:$C$205,A7,③入庫管理!$E$4:$E$205),0)</f>
        <v>0</v>
      </c>
      <c r="F7" s="49">
        <f>IFERROR(SUMIF(④出庫管理!$C$4:$C$203,A7,④出庫管理!$E$4:$E$203),0)</f>
        <v>0</v>
      </c>
      <c r="G7" s="47">
        <f t="shared" si="0"/>
        <v>0</v>
      </c>
      <c r="H7" s="26" t="str">
        <f t="shared" si="1"/>
        <v>⚠ 在庫なし</v>
      </c>
      <c r="I7" s="48"/>
    </row>
    <row r="8" spans="1:10" ht="19.5" customHeight="1">
      <c r="A8" s="44">
        <f>IFERROR(①商品マスタ!A8,"")</f>
        <v>0</v>
      </c>
      <c r="B8" s="45">
        <f>IFERROR(①商品マスタ!B8,"")</f>
        <v>0</v>
      </c>
      <c r="C8" s="31" t="str">
        <f>IFERROR(①商品マスタ!H8,"")</f>
        <v>管理する</v>
      </c>
      <c r="D8" s="31">
        <f>IFERROR(①商品マスタ!G8,"")</f>
        <v>0</v>
      </c>
      <c r="E8" s="46">
        <f>IFERROR(SUMIF(③入庫管理!$C$4:$C$205,A8,③入庫管理!$E$4:$E$205),0)</f>
        <v>0</v>
      </c>
      <c r="F8" s="46">
        <f>IFERROR(SUMIF(④出庫管理!$C$4:$C$203,A8,④出庫管理!$E$4:$E$203),0)</f>
        <v>0</v>
      </c>
      <c r="G8" s="44">
        <f t="shared" si="0"/>
        <v>0</v>
      </c>
      <c r="H8" s="30" t="str">
        <f t="shared" si="1"/>
        <v>⚠ 在庫なし</v>
      </c>
      <c r="I8" s="45"/>
    </row>
    <row r="9" spans="1:10" ht="19.5" customHeight="1">
      <c r="A9" s="47">
        <f>IFERROR(①商品マスタ!A9,"")</f>
        <v>0</v>
      </c>
      <c r="B9" s="48">
        <f>IFERROR(①商品マスタ!B9,"")</f>
        <v>0</v>
      </c>
      <c r="C9" s="27" t="str">
        <f>IFERROR(①商品マスタ!H9,"")</f>
        <v>管理する</v>
      </c>
      <c r="D9" s="27">
        <f>IFERROR(①商品マスタ!G9,"")</f>
        <v>0</v>
      </c>
      <c r="E9" s="49">
        <f>IFERROR(SUMIF(③入庫管理!$C$4:$C$205,A9,③入庫管理!$E$4:$E$205),0)</f>
        <v>0</v>
      </c>
      <c r="F9" s="49">
        <f>IFERROR(SUMIF(④出庫管理!$C$4:$C$203,A9,④出庫管理!$E$4:$E$203),0)</f>
        <v>0</v>
      </c>
      <c r="G9" s="47">
        <f t="shared" si="0"/>
        <v>0</v>
      </c>
      <c r="H9" s="26" t="str">
        <f t="shared" si="1"/>
        <v>⚠ 在庫なし</v>
      </c>
      <c r="I9" s="48"/>
    </row>
    <row r="10" spans="1:10" ht="19.5" customHeight="1">
      <c r="A10" s="44">
        <f>IFERROR(①商品マスタ!A10,"")</f>
        <v>0</v>
      </c>
      <c r="B10" s="45">
        <f>IFERROR(①商品マスタ!B10,"")</f>
        <v>0</v>
      </c>
      <c r="C10" s="31" t="str">
        <f>IFERROR(①商品マスタ!H10,"")</f>
        <v>管理する</v>
      </c>
      <c r="D10" s="31">
        <f>IFERROR(①商品マスタ!G10,"")</f>
        <v>0</v>
      </c>
      <c r="E10" s="46">
        <f>IFERROR(SUMIF(③入庫管理!$C$4:$C$205,A10,③入庫管理!$E$4:$E$205),0)</f>
        <v>0</v>
      </c>
      <c r="F10" s="46">
        <f>IFERROR(SUMIF(④出庫管理!$C$4:$C$203,A10,④出庫管理!$E$4:$E$203),0)</f>
        <v>0</v>
      </c>
      <c r="G10" s="44">
        <f t="shared" si="0"/>
        <v>0</v>
      </c>
      <c r="H10" s="30" t="str">
        <f t="shared" si="1"/>
        <v>⚠ 在庫なし</v>
      </c>
      <c r="I10" s="45"/>
    </row>
    <row r="11" spans="1:10" ht="19.5" customHeight="1">
      <c r="A11" s="47">
        <f>IFERROR(①商品マスタ!A11,"")</f>
        <v>0</v>
      </c>
      <c r="B11" s="48">
        <f>IFERROR(①商品マスタ!B11,"")</f>
        <v>0</v>
      </c>
      <c r="C11" s="27" t="str">
        <f>IFERROR(①商品マスタ!H11,"")</f>
        <v>管理する</v>
      </c>
      <c r="D11" s="27">
        <f>IFERROR(①商品マスタ!G11,"")</f>
        <v>0</v>
      </c>
      <c r="E11" s="49">
        <f>IFERROR(SUMIF(③入庫管理!$C$4:$C$205,A11,③入庫管理!$E$4:$E$205),0)</f>
        <v>0</v>
      </c>
      <c r="F11" s="49">
        <f>IFERROR(SUMIF(④出庫管理!$C$4:$C$203,A11,④出庫管理!$E$4:$E$203),0)</f>
        <v>0</v>
      </c>
      <c r="G11" s="47">
        <f t="shared" si="0"/>
        <v>0</v>
      </c>
      <c r="H11" s="26" t="str">
        <f t="shared" si="1"/>
        <v>⚠ 在庫なし</v>
      </c>
      <c r="I11" s="48"/>
    </row>
    <row r="12" spans="1:10" ht="19.5" customHeight="1">
      <c r="A12" s="44">
        <f>IFERROR(①商品マスタ!A12,"")</f>
        <v>0</v>
      </c>
      <c r="B12" s="45">
        <f>IFERROR(①商品マスタ!B12,"")</f>
        <v>0</v>
      </c>
      <c r="C12" s="31" t="str">
        <f>IFERROR(①商品マスタ!H12,"")</f>
        <v>管理する</v>
      </c>
      <c r="D12" s="31">
        <f>IFERROR(①商品マスタ!G12,"")</f>
        <v>0</v>
      </c>
      <c r="E12" s="46">
        <f>IFERROR(SUMIF(③入庫管理!$C$4:$C$205,A12,③入庫管理!$E$4:$E$205),0)</f>
        <v>0</v>
      </c>
      <c r="F12" s="46">
        <f>IFERROR(SUMIF(④出庫管理!$C$4:$C$203,A12,④出庫管理!$E$4:$E$203),0)</f>
        <v>0</v>
      </c>
      <c r="G12" s="44">
        <f t="shared" si="0"/>
        <v>0</v>
      </c>
      <c r="H12" s="30" t="str">
        <f t="shared" si="1"/>
        <v>⚠ 在庫なし</v>
      </c>
      <c r="I12" s="45"/>
    </row>
    <row r="13" spans="1:10" ht="19.5" customHeight="1">
      <c r="A13" s="47">
        <f>IFERROR(①商品マスタ!A13,"")</f>
        <v>0</v>
      </c>
      <c r="B13" s="48">
        <f>IFERROR(①商品マスタ!B13,"")</f>
        <v>0</v>
      </c>
      <c r="C13" s="27" t="str">
        <f>IFERROR(①商品マスタ!H13,"")</f>
        <v>管理する</v>
      </c>
      <c r="D13" s="27">
        <f>IFERROR(①商品マスタ!G13,"")</f>
        <v>0</v>
      </c>
      <c r="E13" s="49">
        <f>IFERROR(SUMIF(③入庫管理!$C$4:$C$205,A13,③入庫管理!$E$4:$E$205),0)</f>
        <v>0</v>
      </c>
      <c r="F13" s="49">
        <f>IFERROR(SUMIF(④出庫管理!$C$4:$C$203,A13,④出庫管理!$E$4:$E$203),0)</f>
        <v>0</v>
      </c>
      <c r="G13" s="47">
        <f t="shared" si="0"/>
        <v>0</v>
      </c>
      <c r="H13" s="26" t="str">
        <f t="shared" si="1"/>
        <v>⚠ 在庫なし</v>
      </c>
      <c r="I13" s="48"/>
    </row>
    <row r="14" spans="1:10" ht="19.5" customHeight="1">
      <c r="A14" s="44">
        <f>IFERROR(①商品マスタ!A14,"")</f>
        <v>0</v>
      </c>
      <c r="B14" s="45">
        <f>IFERROR(①商品マスタ!B14,"")</f>
        <v>0</v>
      </c>
      <c r="C14" s="31" t="str">
        <f>IFERROR(①商品マスタ!H14,"")</f>
        <v>管理する</v>
      </c>
      <c r="D14" s="31">
        <f>IFERROR(①商品マスタ!G14,"")</f>
        <v>0</v>
      </c>
      <c r="E14" s="46">
        <f>IFERROR(SUMIF(③入庫管理!$C$4:$C$205,A14,③入庫管理!$E$4:$E$205),0)</f>
        <v>0</v>
      </c>
      <c r="F14" s="46">
        <f>IFERROR(SUMIF(④出庫管理!$C$4:$C$203,A14,④出庫管理!$E$4:$E$203),0)</f>
        <v>0</v>
      </c>
      <c r="G14" s="44">
        <f t="shared" si="0"/>
        <v>0</v>
      </c>
      <c r="H14" s="30" t="str">
        <f t="shared" si="1"/>
        <v>⚠ 在庫なし</v>
      </c>
      <c r="I14" s="45"/>
    </row>
    <row r="15" spans="1:10" ht="19.5" customHeight="1">
      <c r="A15" s="47">
        <f>IFERROR(①商品マスタ!A15,"")</f>
        <v>0</v>
      </c>
      <c r="B15" s="48">
        <f>IFERROR(①商品マスタ!B15,"")</f>
        <v>0</v>
      </c>
      <c r="C15" s="27" t="str">
        <f>IFERROR(①商品マスタ!H15,"")</f>
        <v>管理する</v>
      </c>
      <c r="D15" s="27">
        <f>IFERROR(①商品マスタ!G15,"")</f>
        <v>0</v>
      </c>
      <c r="E15" s="49">
        <f>IFERROR(SUMIF(③入庫管理!$C$4:$C$205,A15,③入庫管理!$E$4:$E$205),0)</f>
        <v>0</v>
      </c>
      <c r="F15" s="49">
        <f>IFERROR(SUMIF(④出庫管理!$C$4:$C$203,A15,④出庫管理!$E$4:$E$203),0)</f>
        <v>0</v>
      </c>
      <c r="G15" s="47">
        <f t="shared" si="0"/>
        <v>0</v>
      </c>
      <c r="H15" s="26" t="str">
        <f t="shared" si="1"/>
        <v>⚠ 在庫なし</v>
      </c>
      <c r="I15" s="48"/>
    </row>
    <row r="16" spans="1:10" ht="19.5" customHeight="1">
      <c r="A16" s="44">
        <f>IFERROR(①商品マスタ!A16,"")</f>
        <v>0</v>
      </c>
      <c r="B16" s="45">
        <f>IFERROR(①商品マスタ!B16,"")</f>
        <v>0</v>
      </c>
      <c r="C16" s="31" t="str">
        <f>IFERROR(①商品マスタ!H16,"")</f>
        <v>管理する</v>
      </c>
      <c r="D16" s="31">
        <f>IFERROR(①商品マスタ!G16,"")</f>
        <v>0</v>
      </c>
      <c r="E16" s="46">
        <f>IFERROR(SUMIF(③入庫管理!$C$4:$C$205,A16,③入庫管理!$E$4:$E$205),0)</f>
        <v>0</v>
      </c>
      <c r="F16" s="46">
        <f>IFERROR(SUMIF(④出庫管理!$C$4:$C$203,A16,④出庫管理!$E$4:$E$203),0)</f>
        <v>0</v>
      </c>
      <c r="G16" s="44">
        <f t="shared" si="0"/>
        <v>0</v>
      </c>
      <c r="H16" s="30" t="str">
        <f t="shared" si="1"/>
        <v>⚠ 在庫なし</v>
      </c>
      <c r="I16" s="45"/>
    </row>
    <row r="17" spans="1:9" ht="19.5" customHeight="1">
      <c r="A17" s="47">
        <f>IFERROR(①商品マスタ!A17,"")</f>
        <v>0</v>
      </c>
      <c r="B17" s="48">
        <f>IFERROR(①商品マスタ!B17,"")</f>
        <v>0</v>
      </c>
      <c r="C17" s="27" t="str">
        <f>IFERROR(①商品マスタ!H17,"")</f>
        <v>管理する</v>
      </c>
      <c r="D17" s="27">
        <f>IFERROR(①商品マスタ!G17,"")</f>
        <v>0</v>
      </c>
      <c r="E17" s="49">
        <f>IFERROR(SUMIF(③入庫管理!$C$4:$C$205,A17,③入庫管理!$E$4:$E$205),0)</f>
        <v>0</v>
      </c>
      <c r="F17" s="49">
        <f>IFERROR(SUMIF(④出庫管理!$C$4:$C$203,A17,④出庫管理!$E$4:$E$203),0)</f>
        <v>0</v>
      </c>
      <c r="G17" s="47">
        <f t="shared" si="0"/>
        <v>0</v>
      </c>
      <c r="H17" s="26" t="str">
        <f t="shared" si="1"/>
        <v>⚠ 在庫なし</v>
      </c>
      <c r="I17" s="48"/>
    </row>
    <row r="18" spans="1:9" ht="19.5" customHeight="1">
      <c r="A18" s="44">
        <f>IFERROR(①商品マスタ!A18,"")</f>
        <v>0</v>
      </c>
      <c r="B18" s="45">
        <f>IFERROR(①商品マスタ!B18,"")</f>
        <v>0</v>
      </c>
      <c r="C18" s="31" t="str">
        <f>IFERROR(①商品マスタ!H18,"")</f>
        <v>管理する</v>
      </c>
      <c r="D18" s="31">
        <f>IFERROR(①商品マスタ!G18,"")</f>
        <v>0</v>
      </c>
      <c r="E18" s="46">
        <f>IFERROR(SUMIF(③入庫管理!$C$4:$C$205,A18,③入庫管理!$E$4:$E$205),0)</f>
        <v>0</v>
      </c>
      <c r="F18" s="46">
        <f>IFERROR(SUMIF(④出庫管理!$C$4:$C$203,A18,④出庫管理!$E$4:$E$203),0)</f>
        <v>0</v>
      </c>
      <c r="G18" s="44">
        <f t="shared" si="0"/>
        <v>0</v>
      </c>
      <c r="H18" s="30" t="str">
        <f t="shared" si="1"/>
        <v>⚠ 在庫なし</v>
      </c>
      <c r="I18" s="45"/>
    </row>
    <row r="19" spans="1:9" ht="19.5" customHeight="1">
      <c r="A19" s="47">
        <f>IFERROR(①商品マスタ!A19,"")</f>
        <v>0</v>
      </c>
      <c r="B19" s="48">
        <f>IFERROR(①商品マスタ!B19,"")</f>
        <v>0</v>
      </c>
      <c r="C19" s="27" t="str">
        <f>IFERROR(①商品マスタ!H19,"")</f>
        <v>管理する</v>
      </c>
      <c r="D19" s="27">
        <f>IFERROR(①商品マスタ!G19,"")</f>
        <v>0</v>
      </c>
      <c r="E19" s="49">
        <f>IFERROR(SUMIF(③入庫管理!$C$4:$C$205,A19,③入庫管理!$E$4:$E$205),0)</f>
        <v>0</v>
      </c>
      <c r="F19" s="49">
        <f>IFERROR(SUMIF(④出庫管理!$C$4:$C$203,A19,④出庫管理!$E$4:$E$203),0)</f>
        <v>0</v>
      </c>
      <c r="G19" s="47">
        <f t="shared" si="0"/>
        <v>0</v>
      </c>
      <c r="H19" s="26" t="str">
        <f t="shared" si="1"/>
        <v>⚠ 在庫なし</v>
      </c>
      <c r="I19" s="48"/>
    </row>
    <row r="20" spans="1:9" ht="19.5" customHeight="1">
      <c r="A20" s="44">
        <f>IFERROR(①商品マスタ!A20,"")</f>
        <v>0</v>
      </c>
      <c r="B20" s="45">
        <f>IFERROR(①商品マスタ!B20,"")</f>
        <v>0</v>
      </c>
      <c r="C20" s="31" t="str">
        <f>IFERROR(①商品マスタ!H20,"")</f>
        <v>管理する</v>
      </c>
      <c r="D20" s="31">
        <f>IFERROR(①商品マスタ!G20,"")</f>
        <v>0</v>
      </c>
      <c r="E20" s="46">
        <f>IFERROR(SUMIF(③入庫管理!$C$4:$C$205,A20,③入庫管理!$E$4:$E$205),0)</f>
        <v>0</v>
      </c>
      <c r="F20" s="46">
        <f>IFERROR(SUMIF(④出庫管理!$C$4:$C$203,A20,④出庫管理!$E$4:$E$203),0)</f>
        <v>0</v>
      </c>
      <c r="G20" s="44">
        <f t="shared" si="0"/>
        <v>0</v>
      </c>
      <c r="H20" s="30" t="str">
        <f t="shared" si="1"/>
        <v>⚠ 在庫なし</v>
      </c>
      <c r="I20" s="45"/>
    </row>
    <row r="21" spans="1:9" ht="19.5" customHeight="1">
      <c r="A21" s="47">
        <f>IFERROR(①商品マスタ!A21,"")</f>
        <v>0</v>
      </c>
      <c r="B21" s="48">
        <f>IFERROR(①商品マスタ!B21,"")</f>
        <v>0</v>
      </c>
      <c r="C21" s="27" t="str">
        <f>IFERROR(①商品マスタ!H21,"")</f>
        <v>管理する</v>
      </c>
      <c r="D21" s="27">
        <f>IFERROR(①商品マスタ!G21,"")</f>
        <v>0</v>
      </c>
      <c r="E21" s="49">
        <f>IFERROR(SUMIF(③入庫管理!$C$4:$C$205,A21,③入庫管理!$E$4:$E$205),0)</f>
        <v>0</v>
      </c>
      <c r="F21" s="49">
        <f>IFERROR(SUMIF(④出庫管理!$C$4:$C$203,A21,④出庫管理!$E$4:$E$203),0)</f>
        <v>0</v>
      </c>
      <c r="G21" s="47">
        <f t="shared" si="0"/>
        <v>0</v>
      </c>
      <c r="H21" s="26" t="str">
        <f t="shared" si="1"/>
        <v>⚠ 在庫なし</v>
      </c>
      <c r="I21" s="48"/>
    </row>
    <row r="22" spans="1:9" ht="19.5" customHeight="1">
      <c r="A22" s="44">
        <f>IFERROR(①商品マスタ!A22,"")</f>
        <v>0</v>
      </c>
      <c r="B22" s="45">
        <f>IFERROR(①商品マスタ!B22,"")</f>
        <v>0</v>
      </c>
      <c r="C22" s="31" t="str">
        <f>IFERROR(①商品マスタ!H22,"")</f>
        <v>管理する</v>
      </c>
      <c r="D22" s="31">
        <f>IFERROR(①商品マスタ!G22,"")</f>
        <v>0</v>
      </c>
      <c r="E22" s="46">
        <f>IFERROR(SUMIF(③入庫管理!$C$4:$C$205,A22,③入庫管理!$E$4:$E$205),0)</f>
        <v>0</v>
      </c>
      <c r="F22" s="46">
        <f>IFERROR(SUMIF(④出庫管理!$C$4:$C$203,A22,④出庫管理!$E$4:$E$203),0)</f>
        <v>0</v>
      </c>
      <c r="G22" s="44">
        <f t="shared" si="0"/>
        <v>0</v>
      </c>
      <c r="H22" s="30" t="str">
        <f t="shared" si="1"/>
        <v>⚠ 在庫なし</v>
      </c>
      <c r="I22" s="45"/>
    </row>
    <row r="23" spans="1:9" ht="19.5" customHeight="1">
      <c r="A23" s="47">
        <f>IFERROR(①商品マスタ!A23,"")</f>
        <v>0</v>
      </c>
      <c r="B23" s="48">
        <f>IFERROR(①商品マスタ!B23,"")</f>
        <v>0</v>
      </c>
      <c r="C23" s="27" t="str">
        <f>IFERROR(①商品マスタ!H23,"")</f>
        <v>管理する</v>
      </c>
      <c r="D23" s="27">
        <f>IFERROR(①商品マスタ!G23,"")</f>
        <v>0</v>
      </c>
      <c r="E23" s="49">
        <f>IFERROR(SUMIF(③入庫管理!$C$4:$C$205,A23,③入庫管理!$E$4:$E$205),0)</f>
        <v>0</v>
      </c>
      <c r="F23" s="49">
        <f>IFERROR(SUMIF(④出庫管理!$C$4:$C$203,A23,④出庫管理!$E$4:$E$203),0)</f>
        <v>0</v>
      </c>
      <c r="G23" s="47">
        <f t="shared" si="0"/>
        <v>0</v>
      </c>
      <c r="H23" s="26" t="str">
        <f t="shared" si="1"/>
        <v>⚠ 在庫なし</v>
      </c>
      <c r="I23" s="48"/>
    </row>
    <row r="24" spans="1:9" ht="19.5" customHeight="1">
      <c r="A24" s="44">
        <f>IFERROR(①商品マスタ!A24,"")</f>
        <v>0</v>
      </c>
      <c r="B24" s="45">
        <f>IFERROR(①商品マスタ!B24,"")</f>
        <v>0</v>
      </c>
      <c r="C24" s="31" t="str">
        <f>IFERROR(①商品マスタ!H24,"")</f>
        <v>管理する</v>
      </c>
      <c r="D24" s="31">
        <f>IFERROR(①商品マスタ!G24,"")</f>
        <v>0</v>
      </c>
      <c r="E24" s="46">
        <f>IFERROR(SUMIF(③入庫管理!$C$4:$C$205,A24,③入庫管理!$E$4:$E$205),0)</f>
        <v>0</v>
      </c>
      <c r="F24" s="46">
        <f>IFERROR(SUMIF(④出庫管理!$C$4:$C$203,A24,④出庫管理!$E$4:$E$203),0)</f>
        <v>0</v>
      </c>
      <c r="G24" s="44">
        <f t="shared" si="0"/>
        <v>0</v>
      </c>
      <c r="H24" s="30" t="str">
        <f t="shared" si="1"/>
        <v>⚠ 在庫なし</v>
      </c>
      <c r="I24" s="45"/>
    </row>
    <row r="25" spans="1:9" ht="19.5" customHeight="1">
      <c r="A25" s="47">
        <f>IFERROR(①商品マスタ!A25,"")</f>
        <v>0</v>
      </c>
      <c r="B25" s="48">
        <f>IFERROR(①商品マスタ!B25,"")</f>
        <v>0</v>
      </c>
      <c r="C25" s="27" t="str">
        <f>IFERROR(①商品マスタ!H25,"")</f>
        <v>管理する</v>
      </c>
      <c r="D25" s="27">
        <f>IFERROR(①商品マスタ!G25,"")</f>
        <v>0</v>
      </c>
      <c r="E25" s="49">
        <f>IFERROR(SUMIF(③入庫管理!$C$4:$C$205,A25,③入庫管理!$E$4:$E$205),0)</f>
        <v>0</v>
      </c>
      <c r="F25" s="49">
        <f>IFERROR(SUMIF(④出庫管理!$C$4:$C$203,A25,④出庫管理!$E$4:$E$203),0)</f>
        <v>0</v>
      </c>
      <c r="G25" s="47">
        <f t="shared" si="0"/>
        <v>0</v>
      </c>
      <c r="H25" s="26" t="str">
        <f t="shared" si="1"/>
        <v>⚠ 在庫なし</v>
      </c>
      <c r="I25" s="48"/>
    </row>
    <row r="26" spans="1:9" ht="19.5" customHeight="1">
      <c r="A26" s="44">
        <f>IFERROR(①商品マスタ!A26,"")</f>
        <v>0</v>
      </c>
      <c r="B26" s="45">
        <f>IFERROR(①商品マスタ!B26,"")</f>
        <v>0</v>
      </c>
      <c r="C26" s="31" t="str">
        <f>IFERROR(①商品マスタ!H26,"")</f>
        <v>管理する</v>
      </c>
      <c r="D26" s="31">
        <f>IFERROR(①商品マスタ!G26,"")</f>
        <v>0</v>
      </c>
      <c r="E26" s="46">
        <f>IFERROR(SUMIF(③入庫管理!$C$4:$C$205,A26,③入庫管理!$E$4:$E$205),0)</f>
        <v>0</v>
      </c>
      <c r="F26" s="46">
        <f>IFERROR(SUMIF(④出庫管理!$C$4:$C$203,A26,④出庫管理!$E$4:$E$203),0)</f>
        <v>0</v>
      </c>
      <c r="G26" s="44">
        <f t="shared" si="0"/>
        <v>0</v>
      </c>
      <c r="H26" s="30" t="str">
        <f t="shared" si="1"/>
        <v>⚠ 在庫なし</v>
      </c>
      <c r="I26" s="45"/>
    </row>
    <row r="27" spans="1:9" ht="19.5" customHeight="1">
      <c r="A27" s="47">
        <f>IFERROR(①商品マスタ!A27,"")</f>
        <v>0</v>
      </c>
      <c r="B27" s="48">
        <f>IFERROR(①商品マスタ!B27,"")</f>
        <v>0</v>
      </c>
      <c r="C27" s="27" t="str">
        <f>IFERROR(①商品マスタ!H27,"")</f>
        <v>管理する</v>
      </c>
      <c r="D27" s="27">
        <f>IFERROR(①商品マスタ!G27,"")</f>
        <v>0</v>
      </c>
      <c r="E27" s="49">
        <f>IFERROR(SUMIF(③入庫管理!$C$4:$C$205,A27,③入庫管理!$E$4:$E$205),0)</f>
        <v>0</v>
      </c>
      <c r="F27" s="49">
        <f>IFERROR(SUMIF(④出庫管理!$C$4:$C$203,A27,④出庫管理!$E$4:$E$203),0)</f>
        <v>0</v>
      </c>
      <c r="G27" s="47">
        <f t="shared" si="0"/>
        <v>0</v>
      </c>
      <c r="H27" s="26" t="str">
        <f t="shared" si="1"/>
        <v>⚠ 在庫なし</v>
      </c>
      <c r="I27" s="48"/>
    </row>
    <row r="28" spans="1:9" ht="19.5" customHeight="1">
      <c r="A28" s="44">
        <f>IFERROR(①商品マスタ!A28,"")</f>
        <v>0</v>
      </c>
      <c r="B28" s="45">
        <f>IFERROR(①商品マスタ!B28,"")</f>
        <v>0</v>
      </c>
      <c r="C28" s="31" t="str">
        <f>IFERROR(①商品マスタ!H28,"")</f>
        <v>管理する</v>
      </c>
      <c r="D28" s="31">
        <f>IFERROR(①商品マスタ!G28,"")</f>
        <v>0</v>
      </c>
      <c r="E28" s="46">
        <f>IFERROR(SUMIF(③入庫管理!$C$4:$C$205,A28,③入庫管理!$E$4:$E$205),0)</f>
        <v>0</v>
      </c>
      <c r="F28" s="46">
        <f>IFERROR(SUMIF(④出庫管理!$C$4:$C$203,A28,④出庫管理!$E$4:$E$203),0)</f>
        <v>0</v>
      </c>
      <c r="G28" s="44">
        <f t="shared" si="0"/>
        <v>0</v>
      </c>
      <c r="H28" s="30" t="str">
        <f t="shared" si="1"/>
        <v>⚠ 在庫なし</v>
      </c>
      <c r="I28" s="45"/>
    </row>
    <row r="29" spans="1:9" ht="19.5" customHeight="1">
      <c r="A29" s="47">
        <f>IFERROR(①商品マスタ!A29,"")</f>
        <v>0</v>
      </c>
      <c r="B29" s="48">
        <f>IFERROR(①商品マスタ!B29,"")</f>
        <v>0</v>
      </c>
      <c r="C29" s="27" t="str">
        <f>IFERROR(①商品マスタ!H29,"")</f>
        <v>管理する</v>
      </c>
      <c r="D29" s="27">
        <f>IFERROR(①商品マスタ!G29,"")</f>
        <v>0</v>
      </c>
      <c r="E29" s="49">
        <f>IFERROR(SUMIF(③入庫管理!$C$4:$C$205,A29,③入庫管理!$E$4:$E$205),0)</f>
        <v>0</v>
      </c>
      <c r="F29" s="49">
        <f>IFERROR(SUMIF(④出庫管理!$C$4:$C$203,A29,④出庫管理!$E$4:$E$203),0)</f>
        <v>0</v>
      </c>
      <c r="G29" s="47">
        <f t="shared" si="0"/>
        <v>0</v>
      </c>
      <c r="H29" s="26" t="str">
        <f t="shared" si="1"/>
        <v>⚠ 在庫なし</v>
      </c>
      <c r="I29" s="48"/>
    </row>
    <row r="30" spans="1:9" ht="19.5" customHeight="1">
      <c r="A30" s="44">
        <f>IFERROR(①商品マスタ!A30,"")</f>
        <v>0</v>
      </c>
      <c r="B30" s="45">
        <f>IFERROR(①商品マスタ!B30,"")</f>
        <v>0</v>
      </c>
      <c r="C30" s="31" t="str">
        <f>IFERROR(①商品マスタ!H30,"")</f>
        <v>管理する</v>
      </c>
      <c r="D30" s="31">
        <f>IFERROR(①商品マスタ!G30,"")</f>
        <v>0</v>
      </c>
      <c r="E30" s="46">
        <f>IFERROR(SUMIF(③入庫管理!$C$4:$C$205,A30,③入庫管理!$E$4:$E$205),0)</f>
        <v>0</v>
      </c>
      <c r="F30" s="46">
        <f>IFERROR(SUMIF(④出庫管理!$C$4:$C$203,A30,④出庫管理!$E$4:$E$203),0)</f>
        <v>0</v>
      </c>
      <c r="G30" s="44">
        <f t="shared" si="0"/>
        <v>0</v>
      </c>
      <c r="H30" s="30" t="str">
        <f t="shared" si="1"/>
        <v>⚠ 在庫なし</v>
      </c>
      <c r="I30" s="45"/>
    </row>
    <row r="31" spans="1:9" ht="19.5" customHeight="1">
      <c r="A31" s="47">
        <f>IFERROR(①商品マスタ!A31,"")</f>
        <v>0</v>
      </c>
      <c r="B31" s="48">
        <f>IFERROR(①商品マスタ!B31,"")</f>
        <v>0</v>
      </c>
      <c r="C31" s="27" t="str">
        <f>IFERROR(①商品マスタ!H31,"")</f>
        <v>管理する</v>
      </c>
      <c r="D31" s="27">
        <f>IFERROR(①商品マスタ!G31,"")</f>
        <v>0</v>
      </c>
      <c r="E31" s="49">
        <f>IFERROR(SUMIF(③入庫管理!$C$4:$C$205,A31,③入庫管理!$E$4:$E$205),0)</f>
        <v>0</v>
      </c>
      <c r="F31" s="49">
        <f>IFERROR(SUMIF(④出庫管理!$C$4:$C$203,A31,④出庫管理!$E$4:$E$203),0)</f>
        <v>0</v>
      </c>
      <c r="G31" s="47">
        <f t="shared" si="0"/>
        <v>0</v>
      </c>
      <c r="H31" s="26" t="str">
        <f t="shared" si="1"/>
        <v>⚠ 在庫なし</v>
      </c>
      <c r="I31" s="48"/>
    </row>
    <row r="32" spans="1:9" ht="19.5" customHeight="1">
      <c r="A32" s="44">
        <f>IFERROR(①商品マスタ!A32,"")</f>
        <v>0</v>
      </c>
      <c r="B32" s="45">
        <f>IFERROR(①商品マスタ!B32,"")</f>
        <v>0</v>
      </c>
      <c r="C32" s="31" t="str">
        <f>IFERROR(①商品マスタ!H32,"")</f>
        <v>管理する</v>
      </c>
      <c r="D32" s="31">
        <f>IFERROR(①商品マスタ!G32,"")</f>
        <v>0</v>
      </c>
      <c r="E32" s="46">
        <f>IFERROR(SUMIF(③入庫管理!$C$4:$C$205,A32,③入庫管理!$E$4:$E$205),0)</f>
        <v>0</v>
      </c>
      <c r="F32" s="46">
        <f>IFERROR(SUMIF(④出庫管理!$C$4:$C$203,A32,④出庫管理!$E$4:$E$203),0)</f>
        <v>0</v>
      </c>
      <c r="G32" s="44">
        <f t="shared" si="0"/>
        <v>0</v>
      </c>
      <c r="H32" s="30" t="str">
        <f t="shared" si="1"/>
        <v>⚠ 在庫なし</v>
      </c>
      <c r="I32" s="45"/>
    </row>
    <row r="33" spans="1:9" ht="19.5" customHeight="1">
      <c r="A33" s="47">
        <f>IFERROR(①商品マスタ!A33,"")</f>
        <v>0</v>
      </c>
      <c r="B33" s="48">
        <f>IFERROR(①商品マスタ!B33,"")</f>
        <v>0</v>
      </c>
      <c r="C33" s="27" t="str">
        <f>IFERROR(①商品マスタ!H33,"")</f>
        <v>管理する</v>
      </c>
      <c r="D33" s="27">
        <f>IFERROR(①商品マスタ!G33,"")</f>
        <v>0</v>
      </c>
      <c r="E33" s="49">
        <f>IFERROR(SUMIF(③入庫管理!$C$4:$C$205,A33,③入庫管理!$E$4:$E$205),0)</f>
        <v>0</v>
      </c>
      <c r="F33" s="49">
        <f>IFERROR(SUMIF(④出庫管理!$C$4:$C$203,A33,④出庫管理!$E$4:$E$203),0)</f>
        <v>0</v>
      </c>
      <c r="G33" s="47">
        <f t="shared" si="0"/>
        <v>0</v>
      </c>
      <c r="H33" s="26" t="str">
        <f t="shared" si="1"/>
        <v>⚠ 在庫なし</v>
      </c>
      <c r="I33" s="48"/>
    </row>
    <row r="34" spans="1:9" ht="19.5" customHeight="1">
      <c r="A34" s="44">
        <f>IFERROR(①商品マスタ!A34,"")</f>
        <v>0</v>
      </c>
      <c r="B34" s="45">
        <f>IFERROR(①商品マスタ!B34,"")</f>
        <v>0</v>
      </c>
      <c r="C34" s="31" t="str">
        <f>IFERROR(①商品マスタ!H34,"")</f>
        <v>管理する</v>
      </c>
      <c r="D34" s="31">
        <f>IFERROR(①商品マスタ!G34,"")</f>
        <v>0</v>
      </c>
      <c r="E34" s="46">
        <f>IFERROR(SUMIF(③入庫管理!$C$4:$C$205,A34,③入庫管理!$E$4:$E$205),0)</f>
        <v>0</v>
      </c>
      <c r="F34" s="46">
        <f>IFERROR(SUMIF(④出庫管理!$C$4:$C$203,A34,④出庫管理!$E$4:$E$203),0)</f>
        <v>0</v>
      </c>
      <c r="G34" s="44">
        <f t="shared" si="0"/>
        <v>0</v>
      </c>
      <c r="H34" s="30" t="str">
        <f t="shared" si="1"/>
        <v>⚠ 在庫なし</v>
      </c>
      <c r="I34" s="45"/>
    </row>
    <row r="35" spans="1:9" ht="19.5" customHeight="1">
      <c r="A35" s="47">
        <f>IFERROR(①商品マスタ!A35,"")</f>
        <v>0</v>
      </c>
      <c r="B35" s="48">
        <f>IFERROR(①商品マスタ!B35,"")</f>
        <v>0</v>
      </c>
      <c r="C35" s="27" t="str">
        <f>IFERROR(①商品マスタ!H35,"")</f>
        <v>管理する</v>
      </c>
      <c r="D35" s="27">
        <f>IFERROR(①商品マスタ!G35,"")</f>
        <v>0</v>
      </c>
      <c r="E35" s="49">
        <f>IFERROR(SUMIF(③入庫管理!$C$4:$C$205,A35,③入庫管理!$E$4:$E$205),0)</f>
        <v>0</v>
      </c>
      <c r="F35" s="49">
        <f>IFERROR(SUMIF(④出庫管理!$C$4:$C$203,A35,④出庫管理!$E$4:$E$203),0)</f>
        <v>0</v>
      </c>
      <c r="G35" s="47">
        <f t="shared" si="0"/>
        <v>0</v>
      </c>
      <c r="H35" s="26" t="str">
        <f t="shared" si="1"/>
        <v>⚠ 在庫なし</v>
      </c>
      <c r="I35" s="48"/>
    </row>
    <row r="36" spans="1:9" ht="19.5" customHeight="1">
      <c r="A36" s="44">
        <f>IFERROR(①商品マスタ!A36,"")</f>
        <v>0</v>
      </c>
      <c r="B36" s="45">
        <f>IFERROR(①商品マスタ!B36,"")</f>
        <v>0</v>
      </c>
      <c r="C36" s="31" t="str">
        <f>IFERROR(①商品マスタ!H36,"")</f>
        <v>管理する</v>
      </c>
      <c r="D36" s="31">
        <f>IFERROR(①商品マスタ!G36,"")</f>
        <v>0</v>
      </c>
      <c r="E36" s="46">
        <f>IFERROR(SUMIF(③入庫管理!$C$4:$C$205,A36,③入庫管理!$E$4:$E$205),0)</f>
        <v>0</v>
      </c>
      <c r="F36" s="46">
        <f>IFERROR(SUMIF(④出庫管理!$C$4:$C$203,A36,④出庫管理!$E$4:$E$203),0)</f>
        <v>0</v>
      </c>
      <c r="G36" s="44">
        <f t="shared" ref="G36:G67" si="2">IFERROR(IF(A36="","",E36-F36),"")</f>
        <v>0</v>
      </c>
      <c r="H36" s="30" t="str">
        <f t="shared" ref="H36:H67" si="3">IFERROR(IF(A36="","",IF(C36="管理しない","対象外",IF(G36&lt;=0,"⚠ 在庫なし",IF(G36&lt;=D36,"⚠ 要発注","OK")))),"")</f>
        <v>⚠ 在庫なし</v>
      </c>
      <c r="I36" s="45"/>
    </row>
    <row r="37" spans="1:9" ht="19.5" customHeight="1">
      <c r="A37" s="47">
        <f>IFERROR(①商品マスタ!A37,"")</f>
        <v>0</v>
      </c>
      <c r="B37" s="48">
        <f>IFERROR(①商品マスタ!B37,"")</f>
        <v>0</v>
      </c>
      <c r="C37" s="27" t="str">
        <f>IFERROR(①商品マスタ!H37,"")</f>
        <v>管理する</v>
      </c>
      <c r="D37" s="27">
        <f>IFERROR(①商品マスタ!G37,"")</f>
        <v>0</v>
      </c>
      <c r="E37" s="49">
        <f>IFERROR(SUMIF(③入庫管理!$C$4:$C$205,A37,③入庫管理!$E$4:$E$205),0)</f>
        <v>0</v>
      </c>
      <c r="F37" s="49">
        <f>IFERROR(SUMIF(④出庫管理!$C$4:$C$203,A37,④出庫管理!$E$4:$E$203),0)</f>
        <v>0</v>
      </c>
      <c r="G37" s="47">
        <f t="shared" si="2"/>
        <v>0</v>
      </c>
      <c r="H37" s="26" t="str">
        <f t="shared" si="3"/>
        <v>⚠ 在庫なし</v>
      </c>
      <c r="I37" s="48"/>
    </row>
    <row r="38" spans="1:9" ht="19.5" customHeight="1">
      <c r="A38" s="44">
        <f>IFERROR(①商品マスタ!A38,"")</f>
        <v>0</v>
      </c>
      <c r="B38" s="45">
        <f>IFERROR(①商品マスタ!B38,"")</f>
        <v>0</v>
      </c>
      <c r="C38" s="31" t="str">
        <f>IFERROR(①商品マスタ!H38,"")</f>
        <v>管理する</v>
      </c>
      <c r="D38" s="31">
        <f>IFERROR(①商品マスタ!G38,"")</f>
        <v>0</v>
      </c>
      <c r="E38" s="46">
        <f>IFERROR(SUMIF(③入庫管理!$C$4:$C$205,A38,③入庫管理!$E$4:$E$205),0)</f>
        <v>0</v>
      </c>
      <c r="F38" s="46">
        <f>IFERROR(SUMIF(④出庫管理!$C$4:$C$203,A38,④出庫管理!$E$4:$E$203),0)</f>
        <v>0</v>
      </c>
      <c r="G38" s="44">
        <f t="shared" si="2"/>
        <v>0</v>
      </c>
      <c r="H38" s="30" t="str">
        <f t="shared" si="3"/>
        <v>⚠ 在庫なし</v>
      </c>
      <c r="I38" s="45"/>
    </row>
    <row r="39" spans="1:9" ht="19.5" customHeight="1">
      <c r="A39" s="47">
        <f>IFERROR(①商品マスタ!A39,"")</f>
        <v>0</v>
      </c>
      <c r="B39" s="48">
        <f>IFERROR(①商品マスタ!B39,"")</f>
        <v>0</v>
      </c>
      <c r="C39" s="27" t="str">
        <f>IFERROR(①商品マスタ!H39,"")</f>
        <v>管理する</v>
      </c>
      <c r="D39" s="27">
        <f>IFERROR(①商品マスタ!G39,"")</f>
        <v>0</v>
      </c>
      <c r="E39" s="49">
        <f>IFERROR(SUMIF(③入庫管理!$C$4:$C$205,A39,③入庫管理!$E$4:$E$205),0)</f>
        <v>0</v>
      </c>
      <c r="F39" s="49">
        <f>IFERROR(SUMIF(④出庫管理!$C$4:$C$203,A39,④出庫管理!$E$4:$E$203),0)</f>
        <v>0</v>
      </c>
      <c r="G39" s="47">
        <f t="shared" si="2"/>
        <v>0</v>
      </c>
      <c r="H39" s="26" t="str">
        <f t="shared" si="3"/>
        <v>⚠ 在庫なし</v>
      </c>
      <c r="I39" s="48"/>
    </row>
    <row r="40" spans="1:9" ht="19.5" customHeight="1">
      <c r="A40" s="44">
        <f>IFERROR(①商品マスタ!A40,"")</f>
        <v>0</v>
      </c>
      <c r="B40" s="45">
        <f>IFERROR(①商品マスタ!B40,"")</f>
        <v>0</v>
      </c>
      <c r="C40" s="31" t="str">
        <f>IFERROR(①商品マスタ!H40,"")</f>
        <v>管理する</v>
      </c>
      <c r="D40" s="31">
        <f>IFERROR(①商品マスタ!G40,"")</f>
        <v>0</v>
      </c>
      <c r="E40" s="46">
        <f>IFERROR(SUMIF(③入庫管理!$C$4:$C$205,A40,③入庫管理!$E$4:$E$205),0)</f>
        <v>0</v>
      </c>
      <c r="F40" s="46">
        <f>IFERROR(SUMIF(④出庫管理!$C$4:$C$203,A40,④出庫管理!$E$4:$E$203),0)</f>
        <v>0</v>
      </c>
      <c r="G40" s="44">
        <f t="shared" si="2"/>
        <v>0</v>
      </c>
      <c r="H40" s="30" t="str">
        <f t="shared" si="3"/>
        <v>⚠ 在庫なし</v>
      </c>
      <c r="I40" s="45"/>
    </row>
    <row r="41" spans="1:9" ht="19.5" customHeight="1">
      <c r="A41" s="47">
        <f>IFERROR(①商品マスタ!A41,"")</f>
        <v>0</v>
      </c>
      <c r="B41" s="48">
        <f>IFERROR(①商品マスタ!B41,"")</f>
        <v>0</v>
      </c>
      <c r="C41" s="27" t="str">
        <f>IFERROR(①商品マスタ!H41,"")</f>
        <v>管理する</v>
      </c>
      <c r="D41" s="27">
        <f>IFERROR(①商品マスタ!G41,"")</f>
        <v>0</v>
      </c>
      <c r="E41" s="49">
        <f>IFERROR(SUMIF(③入庫管理!$C$4:$C$205,A41,③入庫管理!$E$4:$E$205),0)</f>
        <v>0</v>
      </c>
      <c r="F41" s="49">
        <f>IFERROR(SUMIF(④出庫管理!$C$4:$C$203,A41,④出庫管理!$E$4:$E$203),0)</f>
        <v>0</v>
      </c>
      <c r="G41" s="47">
        <f t="shared" si="2"/>
        <v>0</v>
      </c>
      <c r="H41" s="26" t="str">
        <f t="shared" si="3"/>
        <v>⚠ 在庫なし</v>
      </c>
      <c r="I41" s="48"/>
    </row>
    <row r="42" spans="1:9" ht="19.5" customHeight="1">
      <c r="A42" s="44">
        <f>IFERROR(①商品マスタ!A42,"")</f>
        <v>0</v>
      </c>
      <c r="B42" s="45">
        <f>IFERROR(①商品マスタ!B42,"")</f>
        <v>0</v>
      </c>
      <c r="C42" s="31" t="str">
        <f>IFERROR(①商品マスタ!H42,"")</f>
        <v>管理する</v>
      </c>
      <c r="D42" s="31">
        <f>IFERROR(①商品マスタ!G42,"")</f>
        <v>0</v>
      </c>
      <c r="E42" s="46">
        <f>IFERROR(SUMIF(③入庫管理!$C$4:$C$205,A42,③入庫管理!$E$4:$E$205),0)</f>
        <v>0</v>
      </c>
      <c r="F42" s="46">
        <f>IFERROR(SUMIF(④出庫管理!$C$4:$C$203,A42,④出庫管理!$E$4:$E$203),0)</f>
        <v>0</v>
      </c>
      <c r="G42" s="44">
        <f t="shared" si="2"/>
        <v>0</v>
      </c>
      <c r="H42" s="30" t="str">
        <f t="shared" si="3"/>
        <v>⚠ 在庫なし</v>
      </c>
      <c r="I42" s="45"/>
    </row>
    <row r="43" spans="1:9" ht="19.5" customHeight="1">
      <c r="A43" s="47">
        <f>IFERROR(①商品マスタ!A43,"")</f>
        <v>0</v>
      </c>
      <c r="B43" s="48">
        <f>IFERROR(①商品マスタ!B43,"")</f>
        <v>0</v>
      </c>
      <c r="C43" s="27" t="str">
        <f>IFERROR(①商品マスタ!H43,"")</f>
        <v>管理する</v>
      </c>
      <c r="D43" s="27">
        <f>IFERROR(①商品マスタ!G43,"")</f>
        <v>0</v>
      </c>
      <c r="E43" s="49">
        <f>IFERROR(SUMIF(③入庫管理!$C$4:$C$205,A43,③入庫管理!$E$4:$E$205),0)</f>
        <v>0</v>
      </c>
      <c r="F43" s="49">
        <f>IFERROR(SUMIF(④出庫管理!$C$4:$C$203,A43,④出庫管理!$E$4:$E$203),0)</f>
        <v>0</v>
      </c>
      <c r="G43" s="47">
        <f t="shared" si="2"/>
        <v>0</v>
      </c>
      <c r="H43" s="26" t="str">
        <f t="shared" si="3"/>
        <v>⚠ 在庫なし</v>
      </c>
      <c r="I43" s="48"/>
    </row>
    <row r="44" spans="1:9" ht="19.5" customHeight="1">
      <c r="A44" s="44">
        <f>IFERROR(①商品マスタ!A44,"")</f>
        <v>0</v>
      </c>
      <c r="B44" s="45">
        <f>IFERROR(①商品マスタ!B44,"")</f>
        <v>0</v>
      </c>
      <c r="C44" s="31" t="str">
        <f>IFERROR(①商品マスタ!H44,"")</f>
        <v>管理する</v>
      </c>
      <c r="D44" s="31">
        <f>IFERROR(①商品マスタ!G44,"")</f>
        <v>0</v>
      </c>
      <c r="E44" s="46">
        <f>IFERROR(SUMIF(③入庫管理!$C$4:$C$205,A44,③入庫管理!$E$4:$E$205),0)</f>
        <v>0</v>
      </c>
      <c r="F44" s="46">
        <f>IFERROR(SUMIF(④出庫管理!$C$4:$C$203,A44,④出庫管理!$E$4:$E$203),0)</f>
        <v>0</v>
      </c>
      <c r="G44" s="44">
        <f t="shared" si="2"/>
        <v>0</v>
      </c>
      <c r="H44" s="30" t="str">
        <f t="shared" si="3"/>
        <v>⚠ 在庫なし</v>
      </c>
      <c r="I44" s="45"/>
    </row>
    <row r="45" spans="1:9" ht="19.5" customHeight="1">
      <c r="A45" s="47">
        <f>IFERROR(①商品マスタ!A45,"")</f>
        <v>0</v>
      </c>
      <c r="B45" s="48">
        <f>IFERROR(①商品マスタ!B45,"")</f>
        <v>0</v>
      </c>
      <c r="C45" s="27" t="str">
        <f>IFERROR(①商品マスタ!H45,"")</f>
        <v>管理する</v>
      </c>
      <c r="D45" s="27">
        <f>IFERROR(①商品マスタ!G45,"")</f>
        <v>0</v>
      </c>
      <c r="E45" s="49">
        <f>IFERROR(SUMIF(③入庫管理!$C$4:$C$205,A45,③入庫管理!$E$4:$E$205),0)</f>
        <v>0</v>
      </c>
      <c r="F45" s="49">
        <f>IFERROR(SUMIF(④出庫管理!$C$4:$C$203,A45,④出庫管理!$E$4:$E$203),0)</f>
        <v>0</v>
      </c>
      <c r="G45" s="47">
        <f t="shared" si="2"/>
        <v>0</v>
      </c>
      <c r="H45" s="26" t="str">
        <f t="shared" si="3"/>
        <v>⚠ 在庫なし</v>
      </c>
      <c r="I45" s="48"/>
    </row>
    <row r="46" spans="1:9" ht="19.5" customHeight="1">
      <c r="A46" s="44">
        <f>IFERROR(①商品マスタ!A46,"")</f>
        <v>0</v>
      </c>
      <c r="B46" s="45">
        <f>IFERROR(①商品マスタ!B46,"")</f>
        <v>0</v>
      </c>
      <c r="C46" s="31" t="str">
        <f>IFERROR(①商品マスタ!H46,"")</f>
        <v>管理する</v>
      </c>
      <c r="D46" s="31">
        <f>IFERROR(①商品マスタ!G46,"")</f>
        <v>0</v>
      </c>
      <c r="E46" s="46">
        <f>IFERROR(SUMIF(③入庫管理!$C$4:$C$205,A46,③入庫管理!$E$4:$E$205),0)</f>
        <v>0</v>
      </c>
      <c r="F46" s="46">
        <f>IFERROR(SUMIF(④出庫管理!$C$4:$C$203,A46,④出庫管理!$E$4:$E$203),0)</f>
        <v>0</v>
      </c>
      <c r="G46" s="44">
        <f t="shared" si="2"/>
        <v>0</v>
      </c>
      <c r="H46" s="30" t="str">
        <f t="shared" si="3"/>
        <v>⚠ 在庫なし</v>
      </c>
      <c r="I46" s="45"/>
    </row>
    <row r="47" spans="1:9" ht="19.5" customHeight="1">
      <c r="A47" s="47">
        <f>IFERROR(①商品マスタ!A47,"")</f>
        <v>0</v>
      </c>
      <c r="B47" s="48">
        <f>IFERROR(①商品マスタ!B47,"")</f>
        <v>0</v>
      </c>
      <c r="C47" s="27" t="str">
        <f>IFERROR(①商品マスタ!H47,"")</f>
        <v>管理する</v>
      </c>
      <c r="D47" s="27">
        <f>IFERROR(①商品マスタ!G47,"")</f>
        <v>0</v>
      </c>
      <c r="E47" s="49">
        <f>IFERROR(SUMIF(③入庫管理!$C$4:$C$205,A47,③入庫管理!$E$4:$E$205),0)</f>
        <v>0</v>
      </c>
      <c r="F47" s="49">
        <f>IFERROR(SUMIF(④出庫管理!$C$4:$C$203,A47,④出庫管理!$E$4:$E$203),0)</f>
        <v>0</v>
      </c>
      <c r="G47" s="47">
        <f t="shared" si="2"/>
        <v>0</v>
      </c>
      <c r="H47" s="26" t="str">
        <f t="shared" si="3"/>
        <v>⚠ 在庫なし</v>
      </c>
      <c r="I47" s="48"/>
    </row>
    <row r="48" spans="1:9" ht="19.5" customHeight="1">
      <c r="A48" s="44">
        <f>IFERROR(①商品マスタ!A48,"")</f>
        <v>0</v>
      </c>
      <c r="B48" s="45">
        <f>IFERROR(①商品マスタ!B48,"")</f>
        <v>0</v>
      </c>
      <c r="C48" s="31" t="str">
        <f>IFERROR(①商品マスタ!H48,"")</f>
        <v>管理する</v>
      </c>
      <c r="D48" s="31">
        <f>IFERROR(①商品マスタ!G48,"")</f>
        <v>0</v>
      </c>
      <c r="E48" s="46">
        <f>IFERROR(SUMIF(③入庫管理!$C$4:$C$205,A48,③入庫管理!$E$4:$E$205),0)</f>
        <v>0</v>
      </c>
      <c r="F48" s="46">
        <f>IFERROR(SUMIF(④出庫管理!$C$4:$C$203,A48,④出庫管理!$E$4:$E$203),0)</f>
        <v>0</v>
      </c>
      <c r="G48" s="44">
        <f t="shared" si="2"/>
        <v>0</v>
      </c>
      <c r="H48" s="30" t="str">
        <f t="shared" si="3"/>
        <v>⚠ 在庫なし</v>
      </c>
      <c r="I48" s="45"/>
    </row>
    <row r="49" spans="1:9" ht="19.5" customHeight="1">
      <c r="A49" s="47">
        <f>IFERROR(①商品マスタ!A49,"")</f>
        <v>0</v>
      </c>
      <c r="B49" s="48">
        <f>IFERROR(①商品マスタ!B49,"")</f>
        <v>0</v>
      </c>
      <c r="C49" s="27" t="str">
        <f>IFERROR(①商品マスタ!H49,"")</f>
        <v>管理する</v>
      </c>
      <c r="D49" s="27">
        <f>IFERROR(①商品マスタ!G49,"")</f>
        <v>0</v>
      </c>
      <c r="E49" s="49">
        <f>IFERROR(SUMIF(③入庫管理!$C$4:$C$205,A49,③入庫管理!$E$4:$E$205),0)</f>
        <v>0</v>
      </c>
      <c r="F49" s="49">
        <f>IFERROR(SUMIF(④出庫管理!$C$4:$C$203,A49,④出庫管理!$E$4:$E$203),0)</f>
        <v>0</v>
      </c>
      <c r="G49" s="47">
        <f t="shared" si="2"/>
        <v>0</v>
      </c>
      <c r="H49" s="26" t="str">
        <f t="shared" si="3"/>
        <v>⚠ 在庫なし</v>
      </c>
      <c r="I49" s="48"/>
    </row>
    <row r="50" spans="1:9" ht="19.5" customHeight="1">
      <c r="A50" s="44">
        <f>IFERROR(①商品マスタ!A50,"")</f>
        <v>0</v>
      </c>
      <c r="B50" s="45">
        <f>IFERROR(①商品マスタ!B50,"")</f>
        <v>0</v>
      </c>
      <c r="C50" s="31" t="str">
        <f>IFERROR(①商品マスタ!H50,"")</f>
        <v>管理する</v>
      </c>
      <c r="D50" s="31">
        <f>IFERROR(①商品マスタ!G50,"")</f>
        <v>0</v>
      </c>
      <c r="E50" s="46">
        <f>IFERROR(SUMIF(③入庫管理!$C$4:$C$205,A50,③入庫管理!$E$4:$E$205),0)</f>
        <v>0</v>
      </c>
      <c r="F50" s="46">
        <f>IFERROR(SUMIF(④出庫管理!$C$4:$C$203,A50,④出庫管理!$E$4:$E$203),0)</f>
        <v>0</v>
      </c>
      <c r="G50" s="44">
        <f t="shared" si="2"/>
        <v>0</v>
      </c>
      <c r="H50" s="30" t="str">
        <f t="shared" si="3"/>
        <v>⚠ 在庫なし</v>
      </c>
      <c r="I50" s="45"/>
    </row>
    <row r="51" spans="1:9" ht="19.5" customHeight="1">
      <c r="A51" s="47">
        <f>IFERROR(①商品マスタ!A51,"")</f>
        <v>0</v>
      </c>
      <c r="B51" s="48">
        <f>IFERROR(①商品マスタ!B51,"")</f>
        <v>0</v>
      </c>
      <c r="C51" s="27" t="str">
        <f>IFERROR(①商品マスタ!H51,"")</f>
        <v>管理する</v>
      </c>
      <c r="D51" s="27">
        <f>IFERROR(①商品マスタ!G51,"")</f>
        <v>0</v>
      </c>
      <c r="E51" s="49">
        <f>IFERROR(SUMIF(③入庫管理!$C$4:$C$205,A51,③入庫管理!$E$4:$E$205),0)</f>
        <v>0</v>
      </c>
      <c r="F51" s="49">
        <f>IFERROR(SUMIF(④出庫管理!$C$4:$C$203,A51,④出庫管理!$E$4:$E$203),0)</f>
        <v>0</v>
      </c>
      <c r="G51" s="47">
        <f t="shared" si="2"/>
        <v>0</v>
      </c>
      <c r="H51" s="26" t="str">
        <f t="shared" si="3"/>
        <v>⚠ 在庫なし</v>
      </c>
      <c r="I51" s="48"/>
    </row>
    <row r="52" spans="1:9" ht="19.5" customHeight="1">
      <c r="A52" s="44">
        <f>IFERROR(①商品マスタ!A52,"")</f>
        <v>0</v>
      </c>
      <c r="B52" s="45">
        <f>IFERROR(①商品マスタ!B52,"")</f>
        <v>0</v>
      </c>
      <c r="C52" s="31" t="str">
        <f>IFERROR(①商品マスタ!H52,"")</f>
        <v>管理する</v>
      </c>
      <c r="D52" s="31">
        <f>IFERROR(①商品マスタ!G52,"")</f>
        <v>0</v>
      </c>
      <c r="E52" s="46">
        <f>IFERROR(SUMIF(③入庫管理!$C$4:$C$205,A52,③入庫管理!$E$4:$E$205),0)</f>
        <v>0</v>
      </c>
      <c r="F52" s="46">
        <f>IFERROR(SUMIF(④出庫管理!$C$4:$C$203,A52,④出庫管理!$E$4:$E$203),0)</f>
        <v>0</v>
      </c>
      <c r="G52" s="44">
        <f t="shared" si="2"/>
        <v>0</v>
      </c>
      <c r="H52" s="30" t="str">
        <f t="shared" si="3"/>
        <v>⚠ 在庫なし</v>
      </c>
      <c r="I52" s="45"/>
    </row>
    <row r="53" spans="1:9" ht="19.5" customHeight="1">
      <c r="A53" s="47">
        <f>IFERROR(①商品マスタ!A53,"")</f>
        <v>0</v>
      </c>
      <c r="B53" s="48">
        <f>IFERROR(①商品マスタ!B53,"")</f>
        <v>0</v>
      </c>
      <c r="C53" s="27" t="str">
        <f>IFERROR(①商品マスタ!H53,"")</f>
        <v>管理する</v>
      </c>
      <c r="D53" s="27">
        <f>IFERROR(①商品マスタ!G53,"")</f>
        <v>0</v>
      </c>
      <c r="E53" s="49">
        <f>IFERROR(SUMIF(③入庫管理!$C$4:$C$205,A53,③入庫管理!$E$4:$E$205),0)</f>
        <v>0</v>
      </c>
      <c r="F53" s="49">
        <f>IFERROR(SUMIF(④出庫管理!$C$4:$C$203,A53,④出庫管理!$E$4:$E$203),0)</f>
        <v>0</v>
      </c>
      <c r="G53" s="47">
        <f t="shared" si="2"/>
        <v>0</v>
      </c>
      <c r="H53" s="26" t="str">
        <f t="shared" si="3"/>
        <v>⚠ 在庫なし</v>
      </c>
      <c r="I53" s="48"/>
    </row>
    <row r="54" spans="1:9" ht="19.5" customHeight="1">
      <c r="A54" s="44">
        <f>IFERROR(①商品マスタ!A54,"")</f>
        <v>0</v>
      </c>
      <c r="B54" s="45">
        <f>IFERROR(①商品マスタ!B54,"")</f>
        <v>0</v>
      </c>
      <c r="C54" s="31" t="str">
        <f>IFERROR(①商品マスタ!H54,"")</f>
        <v>管理する</v>
      </c>
      <c r="D54" s="31">
        <f>IFERROR(①商品マスタ!G54,"")</f>
        <v>0</v>
      </c>
      <c r="E54" s="46">
        <f>IFERROR(SUMIF(③入庫管理!$C$4:$C$205,A54,③入庫管理!$E$4:$E$205),0)</f>
        <v>0</v>
      </c>
      <c r="F54" s="46">
        <f>IFERROR(SUMIF(④出庫管理!$C$4:$C$203,A54,④出庫管理!$E$4:$E$203),0)</f>
        <v>0</v>
      </c>
      <c r="G54" s="44">
        <f t="shared" si="2"/>
        <v>0</v>
      </c>
      <c r="H54" s="30" t="str">
        <f t="shared" si="3"/>
        <v>⚠ 在庫なし</v>
      </c>
      <c r="I54" s="45"/>
    </row>
    <row r="55" spans="1:9" ht="19.5" customHeight="1">
      <c r="A55" s="47">
        <f>IFERROR(①商品マスタ!A55,"")</f>
        <v>0</v>
      </c>
      <c r="B55" s="48">
        <f>IFERROR(①商品マスタ!B55,"")</f>
        <v>0</v>
      </c>
      <c r="C55" s="27" t="str">
        <f>IFERROR(①商品マスタ!H55,"")</f>
        <v>管理する</v>
      </c>
      <c r="D55" s="27">
        <f>IFERROR(①商品マスタ!G55,"")</f>
        <v>0</v>
      </c>
      <c r="E55" s="49">
        <f>IFERROR(SUMIF(③入庫管理!$C$4:$C$205,A55,③入庫管理!$E$4:$E$205),0)</f>
        <v>0</v>
      </c>
      <c r="F55" s="49">
        <f>IFERROR(SUMIF(④出庫管理!$C$4:$C$203,A55,④出庫管理!$E$4:$E$203),0)</f>
        <v>0</v>
      </c>
      <c r="G55" s="47">
        <f t="shared" si="2"/>
        <v>0</v>
      </c>
      <c r="H55" s="26" t="str">
        <f t="shared" si="3"/>
        <v>⚠ 在庫なし</v>
      </c>
      <c r="I55" s="48"/>
    </row>
    <row r="56" spans="1:9" ht="19.5" customHeight="1">
      <c r="A56" s="44">
        <f>IFERROR(①商品マスタ!A56,"")</f>
        <v>0</v>
      </c>
      <c r="B56" s="45">
        <f>IFERROR(①商品マスタ!B56,"")</f>
        <v>0</v>
      </c>
      <c r="C56" s="31" t="str">
        <f>IFERROR(①商品マスタ!H56,"")</f>
        <v>管理する</v>
      </c>
      <c r="D56" s="31">
        <f>IFERROR(①商品マスタ!G56,"")</f>
        <v>0</v>
      </c>
      <c r="E56" s="46">
        <f>IFERROR(SUMIF(③入庫管理!$C$4:$C$205,A56,③入庫管理!$E$4:$E$205),0)</f>
        <v>0</v>
      </c>
      <c r="F56" s="46">
        <f>IFERROR(SUMIF(④出庫管理!$C$4:$C$203,A56,④出庫管理!$E$4:$E$203),0)</f>
        <v>0</v>
      </c>
      <c r="G56" s="44">
        <f t="shared" si="2"/>
        <v>0</v>
      </c>
      <c r="H56" s="30" t="str">
        <f t="shared" si="3"/>
        <v>⚠ 在庫なし</v>
      </c>
      <c r="I56" s="45"/>
    </row>
    <row r="57" spans="1:9" ht="19.5" customHeight="1">
      <c r="A57" s="47">
        <f>IFERROR(①商品マスタ!A57,"")</f>
        <v>0</v>
      </c>
      <c r="B57" s="48">
        <f>IFERROR(①商品マスタ!B57,"")</f>
        <v>0</v>
      </c>
      <c r="C57" s="27" t="str">
        <f>IFERROR(①商品マスタ!H57,"")</f>
        <v>管理する</v>
      </c>
      <c r="D57" s="27">
        <f>IFERROR(①商品マスタ!G57,"")</f>
        <v>0</v>
      </c>
      <c r="E57" s="49">
        <f>IFERROR(SUMIF(③入庫管理!$C$4:$C$205,A57,③入庫管理!$E$4:$E$205),0)</f>
        <v>0</v>
      </c>
      <c r="F57" s="49">
        <f>IFERROR(SUMIF(④出庫管理!$C$4:$C$203,A57,④出庫管理!$E$4:$E$203),0)</f>
        <v>0</v>
      </c>
      <c r="G57" s="47">
        <f t="shared" si="2"/>
        <v>0</v>
      </c>
      <c r="H57" s="26" t="str">
        <f t="shared" si="3"/>
        <v>⚠ 在庫なし</v>
      </c>
      <c r="I57" s="48"/>
    </row>
    <row r="58" spans="1:9" ht="19.5" customHeight="1">
      <c r="A58" s="44">
        <f>IFERROR(①商品マスタ!A58,"")</f>
        <v>0</v>
      </c>
      <c r="B58" s="45">
        <f>IFERROR(①商品マスタ!B58,"")</f>
        <v>0</v>
      </c>
      <c r="C58" s="31" t="str">
        <f>IFERROR(①商品マスタ!H58,"")</f>
        <v>管理する</v>
      </c>
      <c r="D58" s="31">
        <f>IFERROR(①商品マスタ!G58,"")</f>
        <v>0</v>
      </c>
      <c r="E58" s="46">
        <f>IFERROR(SUMIF(③入庫管理!$C$4:$C$205,A58,③入庫管理!$E$4:$E$205),0)</f>
        <v>0</v>
      </c>
      <c r="F58" s="46">
        <f>IFERROR(SUMIF(④出庫管理!$C$4:$C$203,A58,④出庫管理!$E$4:$E$203),0)</f>
        <v>0</v>
      </c>
      <c r="G58" s="44">
        <f t="shared" si="2"/>
        <v>0</v>
      </c>
      <c r="H58" s="30" t="str">
        <f t="shared" si="3"/>
        <v>⚠ 在庫なし</v>
      </c>
      <c r="I58" s="45"/>
    </row>
    <row r="59" spans="1:9" ht="19.5" customHeight="1">
      <c r="A59" s="47">
        <f>IFERROR(①商品マスタ!A59,"")</f>
        <v>0</v>
      </c>
      <c r="B59" s="48">
        <f>IFERROR(①商品マスタ!B59,"")</f>
        <v>0</v>
      </c>
      <c r="C59" s="27" t="str">
        <f>IFERROR(①商品マスタ!H59,"")</f>
        <v>管理する</v>
      </c>
      <c r="D59" s="27">
        <f>IFERROR(①商品マスタ!G59,"")</f>
        <v>0</v>
      </c>
      <c r="E59" s="49">
        <f>IFERROR(SUMIF(③入庫管理!$C$4:$C$205,A59,③入庫管理!$E$4:$E$205),0)</f>
        <v>0</v>
      </c>
      <c r="F59" s="49">
        <f>IFERROR(SUMIF(④出庫管理!$C$4:$C$203,A59,④出庫管理!$E$4:$E$203),0)</f>
        <v>0</v>
      </c>
      <c r="G59" s="47">
        <f t="shared" si="2"/>
        <v>0</v>
      </c>
      <c r="H59" s="26" t="str">
        <f t="shared" si="3"/>
        <v>⚠ 在庫なし</v>
      </c>
      <c r="I59" s="48"/>
    </row>
    <row r="60" spans="1:9" ht="19.5" customHeight="1">
      <c r="A60" s="44">
        <f>IFERROR(①商品マスタ!A60,"")</f>
        <v>0</v>
      </c>
      <c r="B60" s="45">
        <f>IFERROR(①商品マスタ!B60,"")</f>
        <v>0</v>
      </c>
      <c r="C60" s="31" t="str">
        <f>IFERROR(①商品マスタ!H60,"")</f>
        <v>管理する</v>
      </c>
      <c r="D60" s="31">
        <f>IFERROR(①商品マスタ!G60,"")</f>
        <v>0</v>
      </c>
      <c r="E60" s="46">
        <f>IFERROR(SUMIF(③入庫管理!$C$4:$C$205,A60,③入庫管理!$E$4:$E$205),0)</f>
        <v>0</v>
      </c>
      <c r="F60" s="46">
        <f>IFERROR(SUMIF(④出庫管理!$C$4:$C$203,A60,④出庫管理!$E$4:$E$203),0)</f>
        <v>0</v>
      </c>
      <c r="G60" s="44">
        <f t="shared" si="2"/>
        <v>0</v>
      </c>
      <c r="H60" s="30" t="str">
        <f t="shared" si="3"/>
        <v>⚠ 在庫なし</v>
      </c>
      <c r="I60" s="45"/>
    </row>
    <row r="61" spans="1:9" ht="19.5" customHeight="1">
      <c r="A61" s="47">
        <f>IFERROR(①商品マスタ!A61,"")</f>
        <v>0</v>
      </c>
      <c r="B61" s="48">
        <f>IFERROR(①商品マスタ!B61,"")</f>
        <v>0</v>
      </c>
      <c r="C61" s="27" t="str">
        <f>IFERROR(①商品マスタ!H61,"")</f>
        <v>管理する</v>
      </c>
      <c r="D61" s="27">
        <f>IFERROR(①商品マスタ!G61,"")</f>
        <v>0</v>
      </c>
      <c r="E61" s="49">
        <f>IFERROR(SUMIF(③入庫管理!$C$4:$C$205,A61,③入庫管理!$E$4:$E$205),0)</f>
        <v>0</v>
      </c>
      <c r="F61" s="49">
        <f>IFERROR(SUMIF(④出庫管理!$C$4:$C$203,A61,④出庫管理!$E$4:$E$203),0)</f>
        <v>0</v>
      </c>
      <c r="G61" s="47">
        <f t="shared" si="2"/>
        <v>0</v>
      </c>
      <c r="H61" s="26" t="str">
        <f t="shared" si="3"/>
        <v>⚠ 在庫なし</v>
      </c>
      <c r="I61" s="48"/>
    </row>
    <row r="62" spans="1:9" ht="19.5" customHeight="1">
      <c r="A62" s="44">
        <f>IFERROR(①商品マスタ!A62,"")</f>
        <v>0</v>
      </c>
      <c r="B62" s="45">
        <f>IFERROR(①商品マスタ!B62,"")</f>
        <v>0</v>
      </c>
      <c r="C62" s="31" t="str">
        <f>IFERROR(①商品マスタ!H62,"")</f>
        <v>管理する</v>
      </c>
      <c r="D62" s="31">
        <f>IFERROR(①商品マスタ!G62,"")</f>
        <v>0</v>
      </c>
      <c r="E62" s="46">
        <f>IFERROR(SUMIF(③入庫管理!$C$4:$C$205,A62,③入庫管理!$E$4:$E$205),0)</f>
        <v>0</v>
      </c>
      <c r="F62" s="46">
        <f>IFERROR(SUMIF(④出庫管理!$C$4:$C$203,A62,④出庫管理!$E$4:$E$203),0)</f>
        <v>0</v>
      </c>
      <c r="G62" s="44">
        <f t="shared" si="2"/>
        <v>0</v>
      </c>
      <c r="H62" s="30" t="str">
        <f t="shared" si="3"/>
        <v>⚠ 在庫なし</v>
      </c>
      <c r="I62" s="45"/>
    </row>
    <row r="63" spans="1:9" ht="19.5" customHeight="1">
      <c r="A63" s="47">
        <f>IFERROR(①商品マスタ!A63,"")</f>
        <v>0</v>
      </c>
      <c r="B63" s="48">
        <f>IFERROR(①商品マスタ!B63,"")</f>
        <v>0</v>
      </c>
      <c r="C63" s="27" t="str">
        <f>IFERROR(①商品マスタ!H63,"")</f>
        <v>管理する</v>
      </c>
      <c r="D63" s="27">
        <f>IFERROR(①商品マスタ!G63,"")</f>
        <v>0</v>
      </c>
      <c r="E63" s="49">
        <f>IFERROR(SUMIF(③入庫管理!$C$4:$C$205,A63,③入庫管理!$E$4:$E$205),0)</f>
        <v>0</v>
      </c>
      <c r="F63" s="49">
        <f>IFERROR(SUMIF(④出庫管理!$C$4:$C$203,A63,④出庫管理!$E$4:$E$203),0)</f>
        <v>0</v>
      </c>
      <c r="G63" s="47">
        <f t="shared" si="2"/>
        <v>0</v>
      </c>
      <c r="H63" s="26" t="str">
        <f t="shared" si="3"/>
        <v>⚠ 在庫なし</v>
      </c>
      <c r="I63" s="48"/>
    </row>
    <row r="64" spans="1:9" ht="19.5" customHeight="1">
      <c r="A64" s="44">
        <f>IFERROR(①商品マスタ!A64,"")</f>
        <v>0</v>
      </c>
      <c r="B64" s="45">
        <f>IFERROR(①商品マスタ!B64,"")</f>
        <v>0</v>
      </c>
      <c r="C64" s="31" t="str">
        <f>IFERROR(①商品マスタ!H64,"")</f>
        <v>管理する</v>
      </c>
      <c r="D64" s="31">
        <f>IFERROR(①商品マスタ!G64,"")</f>
        <v>0</v>
      </c>
      <c r="E64" s="46">
        <f>IFERROR(SUMIF(③入庫管理!$C$4:$C$205,A64,③入庫管理!$E$4:$E$205),0)</f>
        <v>0</v>
      </c>
      <c r="F64" s="46">
        <f>IFERROR(SUMIF(④出庫管理!$C$4:$C$203,A64,④出庫管理!$E$4:$E$203),0)</f>
        <v>0</v>
      </c>
      <c r="G64" s="44">
        <f t="shared" si="2"/>
        <v>0</v>
      </c>
      <c r="H64" s="30" t="str">
        <f t="shared" si="3"/>
        <v>⚠ 在庫なし</v>
      </c>
      <c r="I64" s="45"/>
    </row>
    <row r="65" spans="1:9" ht="19.5" customHeight="1">
      <c r="A65" s="47">
        <f>IFERROR(①商品マスタ!A65,"")</f>
        <v>0</v>
      </c>
      <c r="B65" s="48">
        <f>IFERROR(①商品マスタ!B65,"")</f>
        <v>0</v>
      </c>
      <c r="C65" s="27" t="str">
        <f>IFERROR(①商品マスタ!H65,"")</f>
        <v>管理する</v>
      </c>
      <c r="D65" s="27">
        <f>IFERROR(①商品マスタ!G65,"")</f>
        <v>0</v>
      </c>
      <c r="E65" s="49">
        <f>IFERROR(SUMIF(③入庫管理!$C$4:$C$205,A65,③入庫管理!$E$4:$E$205),0)</f>
        <v>0</v>
      </c>
      <c r="F65" s="49">
        <f>IFERROR(SUMIF(④出庫管理!$C$4:$C$203,A65,④出庫管理!$E$4:$E$203),0)</f>
        <v>0</v>
      </c>
      <c r="G65" s="47">
        <f t="shared" si="2"/>
        <v>0</v>
      </c>
      <c r="H65" s="26" t="str">
        <f t="shared" si="3"/>
        <v>⚠ 在庫なし</v>
      </c>
      <c r="I65" s="48"/>
    </row>
    <row r="66" spans="1:9" ht="19.5" customHeight="1">
      <c r="A66" s="44">
        <f>IFERROR(①商品マスタ!A66,"")</f>
        <v>0</v>
      </c>
      <c r="B66" s="45">
        <f>IFERROR(①商品マスタ!B66,"")</f>
        <v>0</v>
      </c>
      <c r="C66" s="31" t="str">
        <f>IFERROR(①商品マスタ!H66,"")</f>
        <v>管理する</v>
      </c>
      <c r="D66" s="31">
        <f>IFERROR(①商品マスタ!G66,"")</f>
        <v>0</v>
      </c>
      <c r="E66" s="46">
        <f>IFERROR(SUMIF(③入庫管理!$C$4:$C$205,A66,③入庫管理!$E$4:$E$205),0)</f>
        <v>0</v>
      </c>
      <c r="F66" s="46">
        <f>IFERROR(SUMIF(④出庫管理!$C$4:$C$203,A66,④出庫管理!$E$4:$E$203),0)</f>
        <v>0</v>
      </c>
      <c r="G66" s="44">
        <f t="shared" si="2"/>
        <v>0</v>
      </c>
      <c r="H66" s="30" t="str">
        <f t="shared" si="3"/>
        <v>⚠ 在庫なし</v>
      </c>
      <c r="I66" s="45"/>
    </row>
    <row r="67" spans="1:9" ht="19.5" customHeight="1">
      <c r="A67" s="47">
        <f>IFERROR(①商品マスタ!A67,"")</f>
        <v>0</v>
      </c>
      <c r="B67" s="48">
        <f>IFERROR(①商品マスタ!B67,"")</f>
        <v>0</v>
      </c>
      <c r="C67" s="27" t="str">
        <f>IFERROR(①商品マスタ!H67,"")</f>
        <v>管理する</v>
      </c>
      <c r="D67" s="27">
        <f>IFERROR(①商品マスタ!G67,"")</f>
        <v>0</v>
      </c>
      <c r="E67" s="49">
        <f>IFERROR(SUMIF(③入庫管理!$C$4:$C$205,A67,③入庫管理!$E$4:$E$205),0)</f>
        <v>0</v>
      </c>
      <c r="F67" s="49">
        <f>IFERROR(SUMIF(④出庫管理!$C$4:$C$203,A67,④出庫管理!$E$4:$E$203),0)</f>
        <v>0</v>
      </c>
      <c r="G67" s="47">
        <f t="shared" si="2"/>
        <v>0</v>
      </c>
      <c r="H67" s="26" t="str">
        <f t="shared" si="3"/>
        <v>⚠ 在庫なし</v>
      </c>
      <c r="I67" s="48"/>
    </row>
    <row r="68" spans="1:9" ht="19.5" customHeight="1">
      <c r="A68" s="44">
        <f>IFERROR(①商品マスタ!A68,"")</f>
        <v>0</v>
      </c>
      <c r="B68" s="45">
        <f>IFERROR(①商品マスタ!B68,"")</f>
        <v>0</v>
      </c>
      <c r="C68" s="31" t="str">
        <f>IFERROR(①商品マスタ!H68,"")</f>
        <v>管理する</v>
      </c>
      <c r="D68" s="31">
        <f>IFERROR(①商品マスタ!G68,"")</f>
        <v>0</v>
      </c>
      <c r="E68" s="46">
        <f>IFERROR(SUMIF(③入庫管理!$C$4:$C$205,A68,③入庫管理!$E$4:$E$205),0)</f>
        <v>0</v>
      </c>
      <c r="F68" s="46">
        <f>IFERROR(SUMIF(④出庫管理!$C$4:$C$203,A68,④出庫管理!$E$4:$E$203),0)</f>
        <v>0</v>
      </c>
      <c r="G68" s="44">
        <f t="shared" ref="G68:G99" si="4">IFERROR(IF(A68="","",E68-F68),"")</f>
        <v>0</v>
      </c>
      <c r="H68" s="30" t="str">
        <f t="shared" ref="H68:H99" si="5">IFERROR(IF(A68="","",IF(C68="管理しない","対象外",IF(G68&lt;=0,"⚠ 在庫なし",IF(G68&lt;=D68,"⚠ 要発注","OK")))),"")</f>
        <v>⚠ 在庫なし</v>
      </c>
      <c r="I68" s="45"/>
    </row>
    <row r="69" spans="1:9" ht="19.5" customHeight="1">
      <c r="A69" s="47">
        <f>IFERROR(①商品マスタ!A69,"")</f>
        <v>0</v>
      </c>
      <c r="B69" s="48">
        <f>IFERROR(①商品マスタ!B69,"")</f>
        <v>0</v>
      </c>
      <c r="C69" s="27" t="str">
        <f>IFERROR(①商品マスタ!H69,"")</f>
        <v>管理する</v>
      </c>
      <c r="D69" s="27">
        <f>IFERROR(①商品マスタ!G69,"")</f>
        <v>0</v>
      </c>
      <c r="E69" s="49">
        <f>IFERROR(SUMIF(③入庫管理!$C$4:$C$205,A69,③入庫管理!$E$4:$E$205),0)</f>
        <v>0</v>
      </c>
      <c r="F69" s="49">
        <f>IFERROR(SUMIF(④出庫管理!$C$4:$C$203,A69,④出庫管理!$E$4:$E$203),0)</f>
        <v>0</v>
      </c>
      <c r="G69" s="47">
        <f t="shared" si="4"/>
        <v>0</v>
      </c>
      <c r="H69" s="26" t="str">
        <f t="shared" si="5"/>
        <v>⚠ 在庫なし</v>
      </c>
      <c r="I69" s="48"/>
    </row>
    <row r="70" spans="1:9" ht="19.5" customHeight="1">
      <c r="A70" s="44">
        <f>IFERROR(①商品マスタ!A70,"")</f>
        <v>0</v>
      </c>
      <c r="B70" s="45">
        <f>IFERROR(①商品マスタ!B70,"")</f>
        <v>0</v>
      </c>
      <c r="C70" s="31" t="str">
        <f>IFERROR(①商品マスタ!H70,"")</f>
        <v>管理する</v>
      </c>
      <c r="D70" s="31">
        <f>IFERROR(①商品マスタ!G70,"")</f>
        <v>0</v>
      </c>
      <c r="E70" s="46">
        <f>IFERROR(SUMIF(③入庫管理!$C$4:$C$205,A70,③入庫管理!$E$4:$E$205),0)</f>
        <v>0</v>
      </c>
      <c r="F70" s="46">
        <f>IFERROR(SUMIF(④出庫管理!$C$4:$C$203,A70,④出庫管理!$E$4:$E$203),0)</f>
        <v>0</v>
      </c>
      <c r="G70" s="44">
        <f t="shared" si="4"/>
        <v>0</v>
      </c>
      <c r="H70" s="30" t="str">
        <f t="shared" si="5"/>
        <v>⚠ 在庫なし</v>
      </c>
      <c r="I70" s="45"/>
    </row>
    <row r="71" spans="1:9" ht="19.5" customHeight="1">
      <c r="A71" s="47">
        <f>IFERROR(①商品マスタ!A71,"")</f>
        <v>0</v>
      </c>
      <c r="B71" s="48">
        <f>IFERROR(①商品マスタ!B71,"")</f>
        <v>0</v>
      </c>
      <c r="C71" s="27" t="str">
        <f>IFERROR(①商品マスタ!H71,"")</f>
        <v>管理する</v>
      </c>
      <c r="D71" s="27">
        <f>IFERROR(①商品マスタ!G71,"")</f>
        <v>0</v>
      </c>
      <c r="E71" s="49">
        <f>IFERROR(SUMIF(③入庫管理!$C$4:$C$205,A71,③入庫管理!$E$4:$E$205),0)</f>
        <v>0</v>
      </c>
      <c r="F71" s="49">
        <f>IFERROR(SUMIF(④出庫管理!$C$4:$C$203,A71,④出庫管理!$E$4:$E$203),0)</f>
        <v>0</v>
      </c>
      <c r="G71" s="47">
        <f t="shared" si="4"/>
        <v>0</v>
      </c>
      <c r="H71" s="26" t="str">
        <f t="shared" si="5"/>
        <v>⚠ 在庫なし</v>
      </c>
      <c r="I71" s="48"/>
    </row>
    <row r="72" spans="1:9" ht="19.5" customHeight="1">
      <c r="A72" s="44">
        <f>IFERROR(①商品マスタ!A72,"")</f>
        <v>0</v>
      </c>
      <c r="B72" s="45">
        <f>IFERROR(①商品マスタ!B72,"")</f>
        <v>0</v>
      </c>
      <c r="C72" s="31" t="str">
        <f>IFERROR(①商品マスタ!H72,"")</f>
        <v>管理する</v>
      </c>
      <c r="D72" s="31">
        <f>IFERROR(①商品マスタ!G72,"")</f>
        <v>0</v>
      </c>
      <c r="E72" s="46">
        <f>IFERROR(SUMIF(③入庫管理!$C$4:$C$205,A72,③入庫管理!$E$4:$E$205),0)</f>
        <v>0</v>
      </c>
      <c r="F72" s="46">
        <f>IFERROR(SUMIF(④出庫管理!$C$4:$C$203,A72,④出庫管理!$E$4:$E$203),0)</f>
        <v>0</v>
      </c>
      <c r="G72" s="44">
        <f t="shared" si="4"/>
        <v>0</v>
      </c>
      <c r="H72" s="30" t="str">
        <f t="shared" si="5"/>
        <v>⚠ 在庫なし</v>
      </c>
      <c r="I72" s="45"/>
    </row>
    <row r="73" spans="1:9" ht="19.5" customHeight="1">
      <c r="A73" s="47">
        <f>IFERROR(①商品マスタ!A73,"")</f>
        <v>0</v>
      </c>
      <c r="B73" s="48">
        <f>IFERROR(①商品マスタ!B73,"")</f>
        <v>0</v>
      </c>
      <c r="C73" s="27" t="str">
        <f>IFERROR(①商品マスタ!H73,"")</f>
        <v>管理する</v>
      </c>
      <c r="D73" s="27">
        <f>IFERROR(①商品マスタ!G73,"")</f>
        <v>0</v>
      </c>
      <c r="E73" s="49">
        <f>IFERROR(SUMIF(③入庫管理!$C$4:$C$205,A73,③入庫管理!$E$4:$E$205),0)</f>
        <v>0</v>
      </c>
      <c r="F73" s="49">
        <f>IFERROR(SUMIF(④出庫管理!$C$4:$C$203,A73,④出庫管理!$E$4:$E$203),0)</f>
        <v>0</v>
      </c>
      <c r="G73" s="47">
        <f t="shared" si="4"/>
        <v>0</v>
      </c>
      <c r="H73" s="26" t="str">
        <f t="shared" si="5"/>
        <v>⚠ 在庫なし</v>
      </c>
      <c r="I73" s="48"/>
    </row>
    <row r="74" spans="1:9" ht="19.5" customHeight="1">
      <c r="A74" s="44">
        <f>IFERROR(①商品マスタ!A74,"")</f>
        <v>0</v>
      </c>
      <c r="B74" s="45">
        <f>IFERROR(①商品マスタ!B74,"")</f>
        <v>0</v>
      </c>
      <c r="C74" s="31" t="str">
        <f>IFERROR(①商品マスタ!H74,"")</f>
        <v>管理する</v>
      </c>
      <c r="D74" s="31">
        <f>IFERROR(①商品マスタ!G74,"")</f>
        <v>0</v>
      </c>
      <c r="E74" s="46">
        <f>IFERROR(SUMIF(③入庫管理!$C$4:$C$205,A74,③入庫管理!$E$4:$E$205),0)</f>
        <v>0</v>
      </c>
      <c r="F74" s="46">
        <f>IFERROR(SUMIF(④出庫管理!$C$4:$C$203,A74,④出庫管理!$E$4:$E$203),0)</f>
        <v>0</v>
      </c>
      <c r="G74" s="44">
        <f t="shared" si="4"/>
        <v>0</v>
      </c>
      <c r="H74" s="30" t="str">
        <f t="shared" si="5"/>
        <v>⚠ 在庫なし</v>
      </c>
      <c r="I74" s="45"/>
    </row>
    <row r="75" spans="1:9" ht="19.5" customHeight="1">
      <c r="A75" s="47">
        <f>IFERROR(①商品マスタ!A75,"")</f>
        <v>0</v>
      </c>
      <c r="B75" s="48">
        <f>IFERROR(①商品マスタ!B75,"")</f>
        <v>0</v>
      </c>
      <c r="C75" s="27" t="str">
        <f>IFERROR(①商品マスタ!H75,"")</f>
        <v>管理する</v>
      </c>
      <c r="D75" s="27">
        <f>IFERROR(①商品マスタ!G75,"")</f>
        <v>0</v>
      </c>
      <c r="E75" s="49">
        <f>IFERROR(SUMIF(③入庫管理!$C$4:$C$205,A75,③入庫管理!$E$4:$E$205),0)</f>
        <v>0</v>
      </c>
      <c r="F75" s="49">
        <f>IFERROR(SUMIF(④出庫管理!$C$4:$C$203,A75,④出庫管理!$E$4:$E$203),0)</f>
        <v>0</v>
      </c>
      <c r="G75" s="47">
        <f t="shared" si="4"/>
        <v>0</v>
      </c>
      <c r="H75" s="26" t="str">
        <f t="shared" si="5"/>
        <v>⚠ 在庫なし</v>
      </c>
      <c r="I75" s="48"/>
    </row>
    <row r="76" spans="1:9" ht="19.5" customHeight="1">
      <c r="A76" s="44">
        <f>IFERROR(①商品マスタ!A76,"")</f>
        <v>0</v>
      </c>
      <c r="B76" s="45">
        <f>IFERROR(①商品マスタ!B76,"")</f>
        <v>0</v>
      </c>
      <c r="C76" s="31" t="str">
        <f>IFERROR(①商品マスタ!H76,"")</f>
        <v>管理する</v>
      </c>
      <c r="D76" s="31">
        <f>IFERROR(①商品マスタ!G76,"")</f>
        <v>0</v>
      </c>
      <c r="E76" s="46">
        <f>IFERROR(SUMIF(③入庫管理!$C$4:$C$205,A76,③入庫管理!$E$4:$E$205),0)</f>
        <v>0</v>
      </c>
      <c r="F76" s="46">
        <f>IFERROR(SUMIF(④出庫管理!$C$4:$C$203,A76,④出庫管理!$E$4:$E$203),0)</f>
        <v>0</v>
      </c>
      <c r="G76" s="44">
        <f t="shared" si="4"/>
        <v>0</v>
      </c>
      <c r="H76" s="30" t="str">
        <f t="shared" si="5"/>
        <v>⚠ 在庫なし</v>
      </c>
      <c r="I76" s="45"/>
    </row>
    <row r="77" spans="1:9" ht="19.5" customHeight="1">
      <c r="A77" s="47">
        <f>IFERROR(①商品マスタ!A77,"")</f>
        <v>0</v>
      </c>
      <c r="B77" s="48">
        <f>IFERROR(①商品マスタ!B77,"")</f>
        <v>0</v>
      </c>
      <c r="C77" s="27" t="str">
        <f>IFERROR(①商品マスタ!H77,"")</f>
        <v>管理する</v>
      </c>
      <c r="D77" s="27">
        <f>IFERROR(①商品マスタ!G77,"")</f>
        <v>0</v>
      </c>
      <c r="E77" s="49">
        <f>IFERROR(SUMIF(③入庫管理!$C$4:$C$205,A77,③入庫管理!$E$4:$E$205),0)</f>
        <v>0</v>
      </c>
      <c r="F77" s="49">
        <f>IFERROR(SUMIF(④出庫管理!$C$4:$C$203,A77,④出庫管理!$E$4:$E$203),0)</f>
        <v>0</v>
      </c>
      <c r="G77" s="47">
        <f t="shared" si="4"/>
        <v>0</v>
      </c>
      <c r="H77" s="26" t="str">
        <f t="shared" si="5"/>
        <v>⚠ 在庫なし</v>
      </c>
      <c r="I77" s="48"/>
    </row>
    <row r="78" spans="1:9" ht="19.5" customHeight="1">
      <c r="A78" s="44">
        <f>IFERROR(①商品マスタ!A78,"")</f>
        <v>0</v>
      </c>
      <c r="B78" s="45">
        <f>IFERROR(①商品マスタ!B78,"")</f>
        <v>0</v>
      </c>
      <c r="C78" s="31" t="str">
        <f>IFERROR(①商品マスタ!H78,"")</f>
        <v>管理する</v>
      </c>
      <c r="D78" s="31">
        <f>IFERROR(①商品マスタ!G78,"")</f>
        <v>0</v>
      </c>
      <c r="E78" s="46">
        <f>IFERROR(SUMIF(③入庫管理!$C$4:$C$205,A78,③入庫管理!$E$4:$E$205),0)</f>
        <v>0</v>
      </c>
      <c r="F78" s="46">
        <f>IFERROR(SUMIF(④出庫管理!$C$4:$C$203,A78,④出庫管理!$E$4:$E$203),0)</f>
        <v>0</v>
      </c>
      <c r="G78" s="44">
        <f t="shared" si="4"/>
        <v>0</v>
      </c>
      <c r="H78" s="30" t="str">
        <f t="shared" si="5"/>
        <v>⚠ 在庫なし</v>
      </c>
      <c r="I78" s="45"/>
    </row>
    <row r="79" spans="1:9" ht="19.5" customHeight="1">
      <c r="A79" s="47">
        <f>IFERROR(①商品マスタ!A79,"")</f>
        <v>0</v>
      </c>
      <c r="B79" s="48">
        <f>IFERROR(①商品マスタ!B79,"")</f>
        <v>0</v>
      </c>
      <c r="C79" s="27" t="str">
        <f>IFERROR(①商品マスタ!H79,"")</f>
        <v>管理する</v>
      </c>
      <c r="D79" s="27">
        <f>IFERROR(①商品マスタ!G79,"")</f>
        <v>0</v>
      </c>
      <c r="E79" s="49">
        <f>IFERROR(SUMIF(③入庫管理!$C$4:$C$205,A79,③入庫管理!$E$4:$E$205),0)</f>
        <v>0</v>
      </c>
      <c r="F79" s="49">
        <f>IFERROR(SUMIF(④出庫管理!$C$4:$C$203,A79,④出庫管理!$E$4:$E$203),0)</f>
        <v>0</v>
      </c>
      <c r="G79" s="47">
        <f t="shared" si="4"/>
        <v>0</v>
      </c>
      <c r="H79" s="26" t="str">
        <f t="shared" si="5"/>
        <v>⚠ 在庫なし</v>
      </c>
      <c r="I79" s="48"/>
    </row>
    <row r="80" spans="1:9" ht="19.5" customHeight="1">
      <c r="A80" s="44">
        <f>IFERROR(①商品マスタ!A80,"")</f>
        <v>0</v>
      </c>
      <c r="B80" s="45">
        <f>IFERROR(①商品マスタ!B80,"")</f>
        <v>0</v>
      </c>
      <c r="C80" s="31" t="str">
        <f>IFERROR(①商品マスタ!H80,"")</f>
        <v>管理する</v>
      </c>
      <c r="D80" s="31">
        <f>IFERROR(①商品マスタ!G80,"")</f>
        <v>0</v>
      </c>
      <c r="E80" s="46">
        <f>IFERROR(SUMIF(③入庫管理!$C$4:$C$205,A80,③入庫管理!$E$4:$E$205),0)</f>
        <v>0</v>
      </c>
      <c r="F80" s="46">
        <f>IFERROR(SUMIF(④出庫管理!$C$4:$C$203,A80,④出庫管理!$E$4:$E$203),0)</f>
        <v>0</v>
      </c>
      <c r="G80" s="44">
        <f t="shared" si="4"/>
        <v>0</v>
      </c>
      <c r="H80" s="30" t="str">
        <f t="shared" si="5"/>
        <v>⚠ 在庫なし</v>
      </c>
      <c r="I80" s="45"/>
    </row>
    <row r="81" spans="1:9" ht="19.5" customHeight="1">
      <c r="A81" s="47">
        <f>IFERROR(①商品マスタ!A81,"")</f>
        <v>0</v>
      </c>
      <c r="B81" s="48">
        <f>IFERROR(①商品マスタ!B81,"")</f>
        <v>0</v>
      </c>
      <c r="C81" s="27" t="str">
        <f>IFERROR(①商品マスタ!H81,"")</f>
        <v>管理する</v>
      </c>
      <c r="D81" s="27">
        <f>IFERROR(①商品マスタ!G81,"")</f>
        <v>0</v>
      </c>
      <c r="E81" s="49">
        <f>IFERROR(SUMIF(③入庫管理!$C$4:$C$205,A81,③入庫管理!$E$4:$E$205),0)</f>
        <v>0</v>
      </c>
      <c r="F81" s="49">
        <f>IFERROR(SUMIF(④出庫管理!$C$4:$C$203,A81,④出庫管理!$E$4:$E$203),0)</f>
        <v>0</v>
      </c>
      <c r="G81" s="47">
        <f t="shared" si="4"/>
        <v>0</v>
      </c>
      <c r="H81" s="26" t="str">
        <f t="shared" si="5"/>
        <v>⚠ 在庫なし</v>
      </c>
      <c r="I81" s="48"/>
    </row>
    <row r="82" spans="1:9" ht="19.5" customHeight="1">
      <c r="A82" s="44">
        <f>IFERROR(①商品マスタ!A82,"")</f>
        <v>0</v>
      </c>
      <c r="B82" s="45">
        <f>IFERROR(①商品マスタ!B82,"")</f>
        <v>0</v>
      </c>
      <c r="C82" s="31" t="str">
        <f>IFERROR(①商品マスタ!H82,"")</f>
        <v>管理する</v>
      </c>
      <c r="D82" s="31">
        <f>IFERROR(①商品マスタ!G82,"")</f>
        <v>0</v>
      </c>
      <c r="E82" s="46">
        <f>IFERROR(SUMIF(③入庫管理!$C$4:$C$205,A82,③入庫管理!$E$4:$E$205),0)</f>
        <v>0</v>
      </c>
      <c r="F82" s="46">
        <f>IFERROR(SUMIF(④出庫管理!$C$4:$C$203,A82,④出庫管理!$E$4:$E$203),0)</f>
        <v>0</v>
      </c>
      <c r="G82" s="44">
        <f t="shared" si="4"/>
        <v>0</v>
      </c>
      <c r="H82" s="30" t="str">
        <f t="shared" si="5"/>
        <v>⚠ 在庫なし</v>
      </c>
      <c r="I82" s="45"/>
    </row>
    <row r="83" spans="1:9" ht="19.5" customHeight="1">
      <c r="A83" s="47">
        <f>IFERROR(①商品マスタ!A83,"")</f>
        <v>0</v>
      </c>
      <c r="B83" s="48">
        <f>IFERROR(①商品マスタ!B83,"")</f>
        <v>0</v>
      </c>
      <c r="C83" s="27" t="str">
        <f>IFERROR(①商品マスタ!H83,"")</f>
        <v>管理する</v>
      </c>
      <c r="D83" s="27">
        <f>IFERROR(①商品マスタ!G83,"")</f>
        <v>0</v>
      </c>
      <c r="E83" s="49">
        <f>IFERROR(SUMIF(③入庫管理!$C$4:$C$205,A83,③入庫管理!$E$4:$E$205),0)</f>
        <v>0</v>
      </c>
      <c r="F83" s="49">
        <f>IFERROR(SUMIF(④出庫管理!$C$4:$C$203,A83,④出庫管理!$E$4:$E$203),0)</f>
        <v>0</v>
      </c>
      <c r="G83" s="47">
        <f t="shared" si="4"/>
        <v>0</v>
      </c>
      <c r="H83" s="26" t="str">
        <f t="shared" si="5"/>
        <v>⚠ 在庫なし</v>
      </c>
      <c r="I83" s="48"/>
    </row>
    <row r="84" spans="1:9" ht="19.5" customHeight="1">
      <c r="A84" s="44">
        <f>IFERROR(①商品マスタ!A84,"")</f>
        <v>0</v>
      </c>
      <c r="B84" s="45">
        <f>IFERROR(①商品マスタ!B84,"")</f>
        <v>0</v>
      </c>
      <c r="C84" s="31" t="str">
        <f>IFERROR(①商品マスタ!H84,"")</f>
        <v>管理する</v>
      </c>
      <c r="D84" s="31">
        <f>IFERROR(①商品マスタ!G84,"")</f>
        <v>0</v>
      </c>
      <c r="E84" s="46">
        <f>IFERROR(SUMIF(③入庫管理!$C$4:$C$205,A84,③入庫管理!$E$4:$E$205),0)</f>
        <v>0</v>
      </c>
      <c r="F84" s="46">
        <f>IFERROR(SUMIF(④出庫管理!$C$4:$C$203,A84,④出庫管理!$E$4:$E$203),0)</f>
        <v>0</v>
      </c>
      <c r="G84" s="44">
        <f t="shared" si="4"/>
        <v>0</v>
      </c>
      <c r="H84" s="30" t="str">
        <f t="shared" si="5"/>
        <v>⚠ 在庫なし</v>
      </c>
      <c r="I84" s="45"/>
    </row>
    <row r="85" spans="1:9" ht="19.5" customHeight="1">
      <c r="A85" s="47">
        <f>IFERROR(①商品マスタ!A85,"")</f>
        <v>0</v>
      </c>
      <c r="B85" s="48">
        <f>IFERROR(①商品マスタ!B85,"")</f>
        <v>0</v>
      </c>
      <c r="C85" s="27" t="str">
        <f>IFERROR(①商品マスタ!H85,"")</f>
        <v>管理する</v>
      </c>
      <c r="D85" s="27">
        <f>IFERROR(①商品マスタ!G85,"")</f>
        <v>0</v>
      </c>
      <c r="E85" s="49">
        <f>IFERROR(SUMIF(③入庫管理!$C$4:$C$205,A85,③入庫管理!$E$4:$E$205),0)</f>
        <v>0</v>
      </c>
      <c r="F85" s="49">
        <f>IFERROR(SUMIF(④出庫管理!$C$4:$C$203,A85,④出庫管理!$E$4:$E$203),0)</f>
        <v>0</v>
      </c>
      <c r="G85" s="47">
        <f t="shared" si="4"/>
        <v>0</v>
      </c>
      <c r="H85" s="26" t="str">
        <f t="shared" si="5"/>
        <v>⚠ 在庫なし</v>
      </c>
      <c r="I85" s="48"/>
    </row>
    <row r="86" spans="1:9" ht="19.5" customHeight="1">
      <c r="A86" s="44">
        <f>IFERROR(①商品マスタ!A86,"")</f>
        <v>0</v>
      </c>
      <c r="B86" s="45">
        <f>IFERROR(①商品マスタ!B86,"")</f>
        <v>0</v>
      </c>
      <c r="C86" s="31" t="str">
        <f>IFERROR(①商品マスタ!H86,"")</f>
        <v>管理する</v>
      </c>
      <c r="D86" s="31">
        <f>IFERROR(①商品マスタ!G86,"")</f>
        <v>0</v>
      </c>
      <c r="E86" s="46">
        <f>IFERROR(SUMIF(③入庫管理!$C$4:$C$205,A86,③入庫管理!$E$4:$E$205),0)</f>
        <v>0</v>
      </c>
      <c r="F86" s="46">
        <f>IFERROR(SUMIF(④出庫管理!$C$4:$C$203,A86,④出庫管理!$E$4:$E$203),0)</f>
        <v>0</v>
      </c>
      <c r="G86" s="44">
        <f t="shared" si="4"/>
        <v>0</v>
      </c>
      <c r="H86" s="30" t="str">
        <f t="shared" si="5"/>
        <v>⚠ 在庫なし</v>
      </c>
      <c r="I86" s="45"/>
    </row>
    <row r="87" spans="1:9" ht="19.5" customHeight="1">
      <c r="A87" s="47">
        <f>IFERROR(①商品マスタ!A87,"")</f>
        <v>0</v>
      </c>
      <c r="B87" s="48">
        <f>IFERROR(①商品マスタ!B87,"")</f>
        <v>0</v>
      </c>
      <c r="C87" s="27" t="str">
        <f>IFERROR(①商品マスタ!H87,"")</f>
        <v>管理する</v>
      </c>
      <c r="D87" s="27">
        <f>IFERROR(①商品マスタ!G87,"")</f>
        <v>0</v>
      </c>
      <c r="E87" s="49">
        <f>IFERROR(SUMIF(③入庫管理!$C$4:$C$205,A87,③入庫管理!$E$4:$E$205),0)</f>
        <v>0</v>
      </c>
      <c r="F87" s="49">
        <f>IFERROR(SUMIF(④出庫管理!$C$4:$C$203,A87,④出庫管理!$E$4:$E$203),0)</f>
        <v>0</v>
      </c>
      <c r="G87" s="47">
        <f t="shared" si="4"/>
        <v>0</v>
      </c>
      <c r="H87" s="26" t="str">
        <f t="shared" si="5"/>
        <v>⚠ 在庫なし</v>
      </c>
      <c r="I87" s="48"/>
    </row>
    <row r="88" spans="1:9" ht="19.5" customHeight="1">
      <c r="A88" s="44">
        <f>IFERROR(①商品マスタ!A88,"")</f>
        <v>0</v>
      </c>
      <c r="B88" s="45">
        <f>IFERROR(①商品マスタ!B88,"")</f>
        <v>0</v>
      </c>
      <c r="C88" s="31" t="str">
        <f>IFERROR(①商品マスタ!H88,"")</f>
        <v>管理する</v>
      </c>
      <c r="D88" s="31">
        <f>IFERROR(①商品マスタ!G88,"")</f>
        <v>0</v>
      </c>
      <c r="E88" s="46">
        <f>IFERROR(SUMIF(③入庫管理!$C$4:$C$205,A88,③入庫管理!$E$4:$E$205),0)</f>
        <v>0</v>
      </c>
      <c r="F88" s="46">
        <f>IFERROR(SUMIF(④出庫管理!$C$4:$C$203,A88,④出庫管理!$E$4:$E$203),0)</f>
        <v>0</v>
      </c>
      <c r="G88" s="44">
        <f t="shared" si="4"/>
        <v>0</v>
      </c>
      <c r="H88" s="30" t="str">
        <f t="shared" si="5"/>
        <v>⚠ 在庫なし</v>
      </c>
      <c r="I88" s="45"/>
    </row>
    <row r="89" spans="1:9" ht="19.5" customHeight="1">
      <c r="A89" s="47">
        <f>IFERROR(①商品マスタ!A89,"")</f>
        <v>0</v>
      </c>
      <c r="B89" s="48">
        <f>IFERROR(①商品マスタ!B89,"")</f>
        <v>0</v>
      </c>
      <c r="C89" s="27" t="str">
        <f>IFERROR(①商品マスタ!H89,"")</f>
        <v>管理する</v>
      </c>
      <c r="D89" s="27">
        <f>IFERROR(①商品マスタ!G89,"")</f>
        <v>0</v>
      </c>
      <c r="E89" s="49">
        <f>IFERROR(SUMIF(③入庫管理!$C$4:$C$205,A89,③入庫管理!$E$4:$E$205),0)</f>
        <v>0</v>
      </c>
      <c r="F89" s="49">
        <f>IFERROR(SUMIF(④出庫管理!$C$4:$C$203,A89,④出庫管理!$E$4:$E$203),0)</f>
        <v>0</v>
      </c>
      <c r="G89" s="47">
        <f t="shared" si="4"/>
        <v>0</v>
      </c>
      <c r="H89" s="26" t="str">
        <f t="shared" si="5"/>
        <v>⚠ 在庫なし</v>
      </c>
      <c r="I89" s="48"/>
    </row>
    <row r="90" spans="1:9" ht="19.5" customHeight="1">
      <c r="A90" s="44">
        <f>IFERROR(①商品マスタ!A90,"")</f>
        <v>0</v>
      </c>
      <c r="B90" s="45">
        <f>IFERROR(①商品マスタ!B90,"")</f>
        <v>0</v>
      </c>
      <c r="C90" s="31" t="str">
        <f>IFERROR(①商品マスタ!H90,"")</f>
        <v>管理する</v>
      </c>
      <c r="D90" s="31">
        <f>IFERROR(①商品マスタ!G90,"")</f>
        <v>0</v>
      </c>
      <c r="E90" s="46">
        <f>IFERROR(SUMIF(③入庫管理!$C$4:$C$205,A90,③入庫管理!$E$4:$E$205),0)</f>
        <v>0</v>
      </c>
      <c r="F90" s="46">
        <f>IFERROR(SUMIF(④出庫管理!$C$4:$C$203,A90,④出庫管理!$E$4:$E$203),0)</f>
        <v>0</v>
      </c>
      <c r="G90" s="44">
        <f t="shared" si="4"/>
        <v>0</v>
      </c>
      <c r="H90" s="30" t="str">
        <f t="shared" si="5"/>
        <v>⚠ 在庫なし</v>
      </c>
      <c r="I90" s="45"/>
    </row>
    <row r="91" spans="1:9" ht="19.5" customHeight="1">
      <c r="A91" s="47">
        <f>IFERROR(①商品マスタ!A91,"")</f>
        <v>0</v>
      </c>
      <c r="B91" s="48">
        <f>IFERROR(①商品マスタ!B91,"")</f>
        <v>0</v>
      </c>
      <c r="C91" s="27" t="str">
        <f>IFERROR(①商品マスタ!H91,"")</f>
        <v>管理する</v>
      </c>
      <c r="D91" s="27">
        <f>IFERROR(①商品マスタ!G91,"")</f>
        <v>0</v>
      </c>
      <c r="E91" s="49">
        <f>IFERROR(SUMIF(③入庫管理!$C$4:$C$205,A91,③入庫管理!$E$4:$E$205),0)</f>
        <v>0</v>
      </c>
      <c r="F91" s="49">
        <f>IFERROR(SUMIF(④出庫管理!$C$4:$C$203,A91,④出庫管理!$E$4:$E$203),0)</f>
        <v>0</v>
      </c>
      <c r="G91" s="47">
        <f t="shared" si="4"/>
        <v>0</v>
      </c>
      <c r="H91" s="26" t="str">
        <f t="shared" si="5"/>
        <v>⚠ 在庫なし</v>
      </c>
      <c r="I91" s="48"/>
    </row>
    <row r="92" spans="1:9" ht="19.5" customHeight="1">
      <c r="A92" s="44">
        <f>IFERROR(①商品マスタ!A92,"")</f>
        <v>0</v>
      </c>
      <c r="B92" s="45">
        <f>IFERROR(①商品マスタ!B92,"")</f>
        <v>0</v>
      </c>
      <c r="C92" s="31" t="str">
        <f>IFERROR(①商品マスタ!H92,"")</f>
        <v>管理する</v>
      </c>
      <c r="D92" s="31">
        <f>IFERROR(①商品マスタ!G92,"")</f>
        <v>0</v>
      </c>
      <c r="E92" s="46">
        <f>IFERROR(SUMIF(③入庫管理!$C$4:$C$205,A92,③入庫管理!$E$4:$E$205),0)</f>
        <v>0</v>
      </c>
      <c r="F92" s="46">
        <f>IFERROR(SUMIF(④出庫管理!$C$4:$C$203,A92,④出庫管理!$E$4:$E$203),0)</f>
        <v>0</v>
      </c>
      <c r="G92" s="44">
        <f t="shared" si="4"/>
        <v>0</v>
      </c>
      <c r="H92" s="30" t="str">
        <f t="shared" si="5"/>
        <v>⚠ 在庫なし</v>
      </c>
      <c r="I92" s="45"/>
    </row>
    <row r="93" spans="1:9" ht="19.5" customHeight="1">
      <c r="A93" s="47">
        <f>IFERROR(①商品マスタ!A93,"")</f>
        <v>0</v>
      </c>
      <c r="B93" s="48">
        <f>IFERROR(①商品マスタ!B93,"")</f>
        <v>0</v>
      </c>
      <c r="C93" s="27" t="str">
        <f>IFERROR(①商品マスタ!H93,"")</f>
        <v>管理する</v>
      </c>
      <c r="D93" s="27">
        <f>IFERROR(①商品マスタ!G93,"")</f>
        <v>0</v>
      </c>
      <c r="E93" s="49">
        <f>IFERROR(SUMIF(③入庫管理!$C$4:$C$205,A93,③入庫管理!$E$4:$E$205),0)</f>
        <v>0</v>
      </c>
      <c r="F93" s="49">
        <f>IFERROR(SUMIF(④出庫管理!$C$4:$C$203,A93,④出庫管理!$E$4:$E$203),0)</f>
        <v>0</v>
      </c>
      <c r="G93" s="47">
        <f t="shared" si="4"/>
        <v>0</v>
      </c>
      <c r="H93" s="26" t="str">
        <f t="shared" si="5"/>
        <v>⚠ 在庫なし</v>
      </c>
      <c r="I93" s="48"/>
    </row>
    <row r="94" spans="1:9" ht="19.5" customHeight="1">
      <c r="A94" s="44">
        <f>IFERROR(①商品マスタ!A94,"")</f>
        <v>0</v>
      </c>
      <c r="B94" s="45">
        <f>IFERROR(①商品マスタ!B94,"")</f>
        <v>0</v>
      </c>
      <c r="C94" s="31" t="str">
        <f>IFERROR(①商品マスタ!H94,"")</f>
        <v>管理する</v>
      </c>
      <c r="D94" s="31">
        <f>IFERROR(①商品マスタ!G94,"")</f>
        <v>0</v>
      </c>
      <c r="E94" s="46">
        <f>IFERROR(SUMIF(③入庫管理!$C$4:$C$205,A94,③入庫管理!$E$4:$E$205),0)</f>
        <v>0</v>
      </c>
      <c r="F94" s="46">
        <f>IFERROR(SUMIF(④出庫管理!$C$4:$C$203,A94,④出庫管理!$E$4:$E$203),0)</f>
        <v>0</v>
      </c>
      <c r="G94" s="44">
        <f t="shared" si="4"/>
        <v>0</v>
      </c>
      <c r="H94" s="30" t="str">
        <f t="shared" si="5"/>
        <v>⚠ 在庫なし</v>
      </c>
      <c r="I94" s="45"/>
    </row>
    <row r="95" spans="1:9" ht="19.5" customHeight="1">
      <c r="A95" s="47">
        <f>IFERROR(①商品マスタ!A95,"")</f>
        <v>0</v>
      </c>
      <c r="B95" s="48">
        <f>IFERROR(①商品マスタ!B95,"")</f>
        <v>0</v>
      </c>
      <c r="C95" s="27" t="str">
        <f>IFERROR(①商品マスタ!H95,"")</f>
        <v>管理する</v>
      </c>
      <c r="D95" s="27">
        <f>IFERROR(①商品マスタ!G95,"")</f>
        <v>0</v>
      </c>
      <c r="E95" s="49">
        <f>IFERROR(SUMIF(③入庫管理!$C$4:$C$205,A95,③入庫管理!$E$4:$E$205),0)</f>
        <v>0</v>
      </c>
      <c r="F95" s="49">
        <f>IFERROR(SUMIF(④出庫管理!$C$4:$C$203,A95,④出庫管理!$E$4:$E$203),0)</f>
        <v>0</v>
      </c>
      <c r="G95" s="47">
        <f t="shared" si="4"/>
        <v>0</v>
      </c>
      <c r="H95" s="26" t="str">
        <f t="shared" si="5"/>
        <v>⚠ 在庫なし</v>
      </c>
      <c r="I95" s="48"/>
    </row>
    <row r="96" spans="1:9" ht="19.5" customHeight="1">
      <c r="A96" s="44">
        <f>IFERROR(①商品マスタ!A96,"")</f>
        <v>0</v>
      </c>
      <c r="B96" s="45">
        <f>IFERROR(①商品マスタ!B96,"")</f>
        <v>0</v>
      </c>
      <c r="C96" s="31" t="str">
        <f>IFERROR(①商品マスタ!H96,"")</f>
        <v>管理する</v>
      </c>
      <c r="D96" s="31">
        <f>IFERROR(①商品マスタ!G96,"")</f>
        <v>0</v>
      </c>
      <c r="E96" s="46">
        <f>IFERROR(SUMIF(③入庫管理!$C$4:$C$205,A96,③入庫管理!$E$4:$E$205),0)</f>
        <v>0</v>
      </c>
      <c r="F96" s="46">
        <f>IFERROR(SUMIF(④出庫管理!$C$4:$C$203,A96,④出庫管理!$E$4:$E$203),0)</f>
        <v>0</v>
      </c>
      <c r="G96" s="44">
        <f t="shared" si="4"/>
        <v>0</v>
      </c>
      <c r="H96" s="30" t="str">
        <f t="shared" si="5"/>
        <v>⚠ 在庫なし</v>
      </c>
      <c r="I96" s="45"/>
    </row>
    <row r="97" spans="1:9" ht="19.5" customHeight="1">
      <c r="A97" s="47">
        <f>IFERROR(①商品マスタ!A97,"")</f>
        <v>0</v>
      </c>
      <c r="B97" s="48">
        <f>IFERROR(①商品マスタ!B97,"")</f>
        <v>0</v>
      </c>
      <c r="C97" s="27" t="str">
        <f>IFERROR(①商品マスタ!H97,"")</f>
        <v>管理する</v>
      </c>
      <c r="D97" s="27">
        <f>IFERROR(①商品マスタ!G97,"")</f>
        <v>0</v>
      </c>
      <c r="E97" s="49">
        <f>IFERROR(SUMIF(③入庫管理!$C$4:$C$205,A97,③入庫管理!$E$4:$E$205),0)</f>
        <v>0</v>
      </c>
      <c r="F97" s="49">
        <f>IFERROR(SUMIF(④出庫管理!$C$4:$C$203,A97,④出庫管理!$E$4:$E$203),0)</f>
        <v>0</v>
      </c>
      <c r="G97" s="47">
        <f t="shared" si="4"/>
        <v>0</v>
      </c>
      <c r="H97" s="26" t="str">
        <f t="shared" si="5"/>
        <v>⚠ 在庫なし</v>
      </c>
      <c r="I97" s="48"/>
    </row>
    <row r="98" spans="1:9" ht="19.5" customHeight="1">
      <c r="A98" s="44">
        <f>IFERROR(①商品マスタ!A98,"")</f>
        <v>0</v>
      </c>
      <c r="B98" s="45">
        <f>IFERROR(①商品マスタ!B98,"")</f>
        <v>0</v>
      </c>
      <c r="C98" s="31" t="str">
        <f>IFERROR(①商品マスタ!H98,"")</f>
        <v>管理する</v>
      </c>
      <c r="D98" s="31">
        <f>IFERROR(①商品マスタ!G98,"")</f>
        <v>0</v>
      </c>
      <c r="E98" s="46">
        <f>IFERROR(SUMIF(③入庫管理!$C$4:$C$205,A98,③入庫管理!$E$4:$E$205),0)</f>
        <v>0</v>
      </c>
      <c r="F98" s="46">
        <f>IFERROR(SUMIF(④出庫管理!$C$4:$C$203,A98,④出庫管理!$E$4:$E$203),0)</f>
        <v>0</v>
      </c>
      <c r="G98" s="44">
        <f t="shared" si="4"/>
        <v>0</v>
      </c>
      <c r="H98" s="30" t="str">
        <f t="shared" si="5"/>
        <v>⚠ 在庫なし</v>
      </c>
      <c r="I98" s="45"/>
    </row>
    <row r="99" spans="1:9" ht="19.5" customHeight="1">
      <c r="A99" s="47">
        <f>IFERROR(①商品マスタ!A99,"")</f>
        <v>0</v>
      </c>
      <c r="B99" s="48">
        <f>IFERROR(①商品マスタ!B99,"")</f>
        <v>0</v>
      </c>
      <c r="C99" s="27" t="str">
        <f>IFERROR(①商品マスタ!H99,"")</f>
        <v>管理する</v>
      </c>
      <c r="D99" s="27">
        <f>IFERROR(①商品マスタ!G99,"")</f>
        <v>0</v>
      </c>
      <c r="E99" s="49">
        <f>IFERROR(SUMIF(③入庫管理!$C$4:$C$205,A99,③入庫管理!$E$4:$E$205),0)</f>
        <v>0</v>
      </c>
      <c r="F99" s="49">
        <f>IFERROR(SUMIF(④出庫管理!$C$4:$C$203,A99,④出庫管理!$E$4:$E$203),0)</f>
        <v>0</v>
      </c>
      <c r="G99" s="47">
        <f t="shared" si="4"/>
        <v>0</v>
      </c>
      <c r="H99" s="26" t="str">
        <f t="shared" si="5"/>
        <v>⚠ 在庫なし</v>
      </c>
      <c r="I99" s="48"/>
    </row>
    <row r="100" spans="1:9" ht="19.5" customHeight="1">
      <c r="A100" s="44">
        <f>IFERROR(①商品マスタ!A100,"")</f>
        <v>0</v>
      </c>
      <c r="B100" s="45">
        <f>IFERROR(①商品マスタ!B100,"")</f>
        <v>0</v>
      </c>
      <c r="C100" s="31" t="str">
        <f>IFERROR(①商品マスタ!H100,"")</f>
        <v>管理する</v>
      </c>
      <c r="D100" s="31">
        <f>IFERROR(①商品マスタ!G100,"")</f>
        <v>0</v>
      </c>
      <c r="E100" s="46">
        <f>IFERROR(SUMIF(③入庫管理!$C$4:$C$205,A100,③入庫管理!$E$4:$E$205),0)</f>
        <v>0</v>
      </c>
      <c r="F100" s="46">
        <f>IFERROR(SUMIF(④出庫管理!$C$4:$C$203,A100,④出庫管理!$E$4:$E$203),0)</f>
        <v>0</v>
      </c>
      <c r="G100" s="44">
        <f t="shared" ref="G100:G131" si="6">IFERROR(IF(A100="","",E100-F100),"")</f>
        <v>0</v>
      </c>
      <c r="H100" s="30" t="str">
        <f t="shared" ref="H100:H131" si="7">IFERROR(IF(A100="","",IF(C100="管理しない","対象外",IF(G100&lt;=0,"⚠ 在庫なし",IF(G100&lt;=D100,"⚠ 要発注","OK")))),"")</f>
        <v>⚠ 在庫なし</v>
      </c>
      <c r="I100" s="45"/>
    </row>
    <row r="101" spans="1:9" ht="19.5" customHeight="1">
      <c r="A101" s="47">
        <f>IFERROR(①商品マスタ!A101,"")</f>
        <v>0</v>
      </c>
      <c r="B101" s="48">
        <f>IFERROR(①商品マスタ!B101,"")</f>
        <v>0</v>
      </c>
      <c r="C101" s="27" t="str">
        <f>IFERROR(①商品マスタ!H101,"")</f>
        <v>管理する</v>
      </c>
      <c r="D101" s="27">
        <f>IFERROR(①商品マスタ!G101,"")</f>
        <v>0</v>
      </c>
      <c r="E101" s="49">
        <f>IFERROR(SUMIF(③入庫管理!$C$4:$C$205,A101,③入庫管理!$E$4:$E$205),0)</f>
        <v>0</v>
      </c>
      <c r="F101" s="49">
        <f>IFERROR(SUMIF(④出庫管理!$C$4:$C$203,A101,④出庫管理!$E$4:$E$203),0)</f>
        <v>0</v>
      </c>
      <c r="G101" s="47">
        <f t="shared" si="6"/>
        <v>0</v>
      </c>
      <c r="H101" s="26" t="str">
        <f t="shared" si="7"/>
        <v>⚠ 在庫なし</v>
      </c>
      <c r="I101" s="48"/>
    </row>
    <row r="102" spans="1:9" ht="19.5" customHeight="1">
      <c r="A102" s="44">
        <f>IFERROR(①商品マスタ!A102,"")</f>
        <v>0</v>
      </c>
      <c r="B102" s="45">
        <f>IFERROR(①商品マスタ!B102,"")</f>
        <v>0</v>
      </c>
      <c r="C102" s="31" t="str">
        <f>IFERROR(①商品マスタ!H102,"")</f>
        <v>管理する</v>
      </c>
      <c r="D102" s="31">
        <f>IFERROR(①商品マスタ!G102,"")</f>
        <v>0</v>
      </c>
      <c r="E102" s="46">
        <f>IFERROR(SUMIF(③入庫管理!$C$4:$C$205,A102,③入庫管理!$E$4:$E$205),0)</f>
        <v>0</v>
      </c>
      <c r="F102" s="46">
        <f>IFERROR(SUMIF(④出庫管理!$C$4:$C$203,A102,④出庫管理!$E$4:$E$203),0)</f>
        <v>0</v>
      </c>
      <c r="G102" s="44">
        <f t="shared" si="6"/>
        <v>0</v>
      </c>
      <c r="H102" s="30" t="str">
        <f t="shared" si="7"/>
        <v>⚠ 在庫なし</v>
      </c>
      <c r="I102" s="45"/>
    </row>
    <row r="103" spans="1:9" ht="19.5" customHeight="1">
      <c r="A103" s="47">
        <f>IFERROR(①商品マスタ!A103,"")</f>
        <v>0</v>
      </c>
      <c r="B103" s="48">
        <f>IFERROR(①商品マスタ!B103,"")</f>
        <v>0</v>
      </c>
      <c r="C103" s="27" t="str">
        <f>IFERROR(①商品マスタ!H103,"")</f>
        <v>管理する</v>
      </c>
      <c r="D103" s="27">
        <f>IFERROR(①商品マスタ!G103,"")</f>
        <v>0</v>
      </c>
      <c r="E103" s="49">
        <f>IFERROR(SUMIF(③入庫管理!$C$4:$C$205,A103,③入庫管理!$E$4:$E$205),0)</f>
        <v>0</v>
      </c>
      <c r="F103" s="49">
        <f>IFERROR(SUMIF(④出庫管理!$C$4:$C$203,A103,④出庫管理!$E$4:$E$203),0)</f>
        <v>0</v>
      </c>
      <c r="G103" s="47">
        <f t="shared" si="6"/>
        <v>0</v>
      </c>
      <c r="H103" s="26" t="str">
        <f t="shared" si="7"/>
        <v>⚠ 在庫なし</v>
      </c>
      <c r="I103" s="48"/>
    </row>
    <row r="104" spans="1:9" ht="19.5" customHeight="1">
      <c r="A104" s="44">
        <f>IFERROR(①商品マスタ!A104,"")</f>
        <v>0</v>
      </c>
      <c r="B104" s="45">
        <f>IFERROR(①商品マスタ!B104,"")</f>
        <v>0</v>
      </c>
      <c r="C104" s="31" t="str">
        <f>IFERROR(①商品マスタ!H104,"")</f>
        <v>管理する</v>
      </c>
      <c r="D104" s="31">
        <f>IFERROR(①商品マスタ!G104,"")</f>
        <v>0</v>
      </c>
      <c r="E104" s="46">
        <f>IFERROR(SUMIF(③入庫管理!$C$4:$C$205,A104,③入庫管理!$E$4:$E$205),0)</f>
        <v>0</v>
      </c>
      <c r="F104" s="46">
        <f>IFERROR(SUMIF(④出庫管理!$C$4:$C$203,A104,④出庫管理!$E$4:$E$203),0)</f>
        <v>0</v>
      </c>
      <c r="G104" s="44">
        <f t="shared" si="6"/>
        <v>0</v>
      </c>
      <c r="H104" s="30" t="str">
        <f t="shared" si="7"/>
        <v>⚠ 在庫なし</v>
      </c>
      <c r="I104" s="45"/>
    </row>
    <row r="105" spans="1:9" ht="19.5" customHeight="1">
      <c r="A105" s="47">
        <f>IFERROR(①商品マスタ!A105,"")</f>
        <v>0</v>
      </c>
      <c r="B105" s="48">
        <f>IFERROR(①商品マスタ!B105,"")</f>
        <v>0</v>
      </c>
      <c r="C105" s="27" t="str">
        <f>IFERROR(①商品マスタ!H105,"")</f>
        <v>管理する</v>
      </c>
      <c r="D105" s="27">
        <f>IFERROR(①商品マスタ!G105,"")</f>
        <v>0</v>
      </c>
      <c r="E105" s="49">
        <f>IFERROR(SUMIF(③入庫管理!$C$4:$C$205,A105,③入庫管理!$E$4:$E$205),0)</f>
        <v>0</v>
      </c>
      <c r="F105" s="49">
        <f>IFERROR(SUMIF(④出庫管理!$C$4:$C$203,A105,④出庫管理!$E$4:$E$203),0)</f>
        <v>0</v>
      </c>
      <c r="G105" s="47">
        <f t="shared" si="6"/>
        <v>0</v>
      </c>
      <c r="H105" s="26" t="str">
        <f t="shared" si="7"/>
        <v>⚠ 在庫なし</v>
      </c>
      <c r="I105" s="48"/>
    </row>
    <row r="106" spans="1:9" ht="19.5" customHeight="1">
      <c r="A106" s="44">
        <f>IFERROR(①商品マスタ!A106,"")</f>
        <v>0</v>
      </c>
      <c r="B106" s="45">
        <f>IFERROR(①商品マスタ!B106,"")</f>
        <v>0</v>
      </c>
      <c r="C106" s="31" t="str">
        <f>IFERROR(①商品マスタ!H106,"")</f>
        <v>管理する</v>
      </c>
      <c r="D106" s="31">
        <f>IFERROR(①商品マスタ!G106,"")</f>
        <v>0</v>
      </c>
      <c r="E106" s="46">
        <f>IFERROR(SUMIF(③入庫管理!$C$4:$C$205,A106,③入庫管理!$E$4:$E$205),0)</f>
        <v>0</v>
      </c>
      <c r="F106" s="46">
        <f>IFERROR(SUMIF(④出庫管理!$C$4:$C$203,A106,④出庫管理!$E$4:$E$203),0)</f>
        <v>0</v>
      </c>
      <c r="G106" s="44">
        <f t="shared" si="6"/>
        <v>0</v>
      </c>
      <c r="H106" s="30" t="str">
        <f t="shared" si="7"/>
        <v>⚠ 在庫なし</v>
      </c>
      <c r="I106" s="45"/>
    </row>
  </sheetData>
  <mergeCells count="2">
    <mergeCell ref="A1:J1"/>
    <mergeCell ref="A2:J2"/>
  </mergeCells>
  <phoneticPr fontId="22"/>
  <conditionalFormatting sqref="A4:I106">
    <cfRule type="expression" dxfId="8" priority="6">
      <formula>$H4="⚠ 在庫なし"</formula>
    </cfRule>
    <cfRule type="expression" dxfId="7" priority="7">
      <formula>$H4="⚠ 要発注"</formula>
    </cfRule>
  </conditionalFormatting>
  <conditionalFormatting sqref="H4:H106">
    <cfRule type="cellIs" dxfId="6" priority="2" operator="equal">
      <formula>"⚠ 在庫なし"</formula>
    </cfRule>
    <cfRule type="cellIs" dxfId="5" priority="3" operator="equal">
      <formula>"⚠ 要発注"</formula>
    </cfRule>
    <cfRule type="cellIs" dxfId="4" priority="4" operator="equal">
      <formula>"OK"</formula>
    </cfRule>
    <cfRule type="cellIs" dxfId="3" priority="5" operator="equal">
      <formula>"対象外"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48235"/>
  </sheetPr>
  <dimension ref="A1:J107"/>
  <sheetViews>
    <sheetView tabSelected="1" zoomScaleNormal="100" workbookViewId="0">
      <pane ySplit="4" topLeftCell="A5" activePane="bottomLeft" state="frozen"/>
      <selection pane="bottomLeft" activeCell="K12" sqref="K12"/>
    </sheetView>
  </sheetViews>
  <sheetFormatPr defaultColWidth="8.6328125" defaultRowHeight="14.5"/>
  <cols>
    <col min="1" max="1" width="14" customWidth="1"/>
    <col min="2" max="2" width="24" customWidth="1"/>
    <col min="3" max="4" width="16" customWidth="1"/>
    <col min="5" max="5" width="14" customWidth="1"/>
    <col min="6" max="6" width="24" customWidth="1"/>
    <col min="7" max="7" width="10" customWidth="1"/>
  </cols>
  <sheetData>
    <row r="1" spans="1:10" ht="24" customHeight="1">
      <c r="A1" s="2" t="s">
        <v>103</v>
      </c>
      <c r="B1" s="2"/>
      <c r="C1" s="2"/>
      <c r="D1" s="2"/>
      <c r="E1" s="2"/>
      <c r="F1" s="2"/>
      <c r="G1" s="2"/>
      <c r="H1" s="2"/>
      <c r="I1" s="2"/>
      <c r="J1" s="2"/>
    </row>
    <row r="2" spans="1:10" ht="15.75" customHeight="1">
      <c r="A2" s="1" t="s">
        <v>104</v>
      </c>
      <c r="B2" s="1"/>
      <c r="C2" s="1"/>
      <c r="D2" s="1"/>
      <c r="E2" s="1"/>
      <c r="F2" s="1"/>
      <c r="G2" s="1"/>
      <c r="H2" s="1"/>
      <c r="I2" s="1"/>
      <c r="J2" s="1"/>
    </row>
    <row r="3" spans="1:10" ht="25.5" customHeight="1">
      <c r="A3" s="50" t="s">
        <v>105</v>
      </c>
      <c r="B3" s="51"/>
      <c r="C3" s="50" t="s">
        <v>64</v>
      </c>
      <c r="D3" s="52"/>
    </row>
    <row r="4" spans="1:10" ht="27.75" customHeight="1">
      <c r="A4" s="15" t="s">
        <v>98</v>
      </c>
      <c r="B4" s="15" t="s">
        <v>82</v>
      </c>
      <c r="C4" s="15" t="s">
        <v>106</v>
      </c>
      <c r="D4" s="15" t="s">
        <v>107</v>
      </c>
      <c r="E4" s="15" t="s">
        <v>108</v>
      </c>
      <c r="F4" s="15" t="s">
        <v>109</v>
      </c>
      <c r="G4" s="15" t="s">
        <v>110</v>
      </c>
    </row>
    <row r="5" spans="1:10" ht="19.5" customHeight="1">
      <c r="A5" s="47" t="str">
        <f>IFERROR(⑤在庫残高!A4,"")</f>
        <v>P001</v>
      </c>
      <c r="B5" s="24" t="str">
        <f>IFERROR(⑤在庫残高!B4,"")</f>
        <v>商品A</v>
      </c>
      <c r="C5" s="49">
        <f>IFERROR(⑤在庫残高!G4,"")</f>
        <v>50</v>
      </c>
      <c r="D5" s="47"/>
      <c r="E5" s="53" t="str">
        <f t="shared" ref="E5:E36" si="0">IFERROR(IF(AND(C5&lt;&gt;"",D5&lt;&gt;""),D5-C5,""),"")</f>
        <v/>
      </c>
      <c r="F5" s="24"/>
      <c r="G5" s="26"/>
    </row>
    <row r="6" spans="1:10" ht="19.5" customHeight="1">
      <c r="A6" s="44" t="str">
        <f>IFERROR(⑤在庫残高!A5,"")</f>
        <v>P002</v>
      </c>
      <c r="B6" s="28" t="str">
        <f>IFERROR(⑤在庫残高!B5,"")</f>
        <v>商品B</v>
      </c>
      <c r="C6" s="46">
        <f>IFERROR(⑤在庫残高!G5,"")</f>
        <v>20</v>
      </c>
      <c r="D6" s="44"/>
      <c r="E6" s="54" t="str">
        <f t="shared" si="0"/>
        <v/>
      </c>
      <c r="F6" s="28"/>
      <c r="G6" s="30"/>
    </row>
    <row r="7" spans="1:10" ht="19.5" customHeight="1">
      <c r="A7" s="47" t="str">
        <f>IFERROR(⑤在庫残高!A6,"")</f>
        <v>P003</v>
      </c>
      <c r="B7" s="24" t="str">
        <f>IFERROR(⑤在庫残高!B6,"")</f>
        <v>商品C</v>
      </c>
      <c r="C7" s="49">
        <f>IFERROR(⑤在庫残高!G6,"")</f>
        <v>0</v>
      </c>
      <c r="D7" s="47"/>
      <c r="E7" s="53" t="str">
        <f t="shared" si="0"/>
        <v/>
      </c>
      <c r="F7" s="24"/>
      <c r="G7" s="26"/>
    </row>
    <row r="8" spans="1:10" ht="19.5" customHeight="1">
      <c r="A8" s="44">
        <f>IFERROR(⑤在庫残高!A7,"")</f>
        <v>0</v>
      </c>
      <c r="B8" s="28">
        <f>IFERROR(⑤在庫残高!B7,"")</f>
        <v>0</v>
      </c>
      <c r="C8" s="46">
        <f>IFERROR(⑤在庫残高!G7,"")</f>
        <v>0</v>
      </c>
      <c r="D8" s="44"/>
      <c r="E8" s="54" t="str">
        <f t="shared" si="0"/>
        <v/>
      </c>
      <c r="F8" s="28"/>
      <c r="G8" s="30"/>
    </row>
    <row r="9" spans="1:10" ht="19.5" customHeight="1">
      <c r="A9" s="47">
        <f>IFERROR(⑤在庫残高!A8,"")</f>
        <v>0</v>
      </c>
      <c r="B9" s="24">
        <f>IFERROR(⑤在庫残高!B8,"")</f>
        <v>0</v>
      </c>
      <c r="C9" s="49">
        <f>IFERROR(⑤在庫残高!G8,"")</f>
        <v>0</v>
      </c>
      <c r="D9" s="47"/>
      <c r="E9" s="53" t="str">
        <f t="shared" si="0"/>
        <v/>
      </c>
      <c r="F9" s="24"/>
      <c r="G9" s="26"/>
    </row>
    <row r="10" spans="1:10" ht="19.5" customHeight="1">
      <c r="A10" s="44">
        <f>IFERROR(⑤在庫残高!A9,"")</f>
        <v>0</v>
      </c>
      <c r="B10" s="28">
        <f>IFERROR(⑤在庫残高!B9,"")</f>
        <v>0</v>
      </c>
      <c r="C10" s="46">
        <f>IFERROR(⑤在庫残高!G9,"")</f>
        <v>0</v>
      </c>
      <c r="D10" s="44"/>
      <c r="E10" s="54" t="str">
        <f t="shared" si="0"/>
        <v/>
      </c>
      <c r="F10" s="28"/>
      <c r="G10" s="30"/>
    </row>
    <row r="11" spans="1:10" ht="19.5" customHeight="1">
      <c r="A11" s="47">
        <f>IFERROR(⑤在庫残高!A10,"")</f>
        <v>0</v>
      </c>
      <c r="B11" s="24">
        <f>IFERROR(⑤在庫残高!B10,"")</f>
        <v>0</v>
      </c>
      <c r="C11" s="49">
        <f>IFERROR(⑤在庫残高!G10,"")</f>
        <v>0</v>
      </c>
      <c r="D11" s="47"/>
      <c r="E11" s="53" t="str">
        <f t="shared" si="0"/>
        <v/>
      </c>
      <c r="F11" s="24"/>
      <c r="G11" s="26"/>
    </row>
    <row r="12" spans="1:10" ht="19.5" customHeight="1">
      <c r="A12" s="44">
        <f>IFERROR(⑤在庫残高!A11,"")</f>
        <v>0</v>
      </c>
      <c r="B12" s="28">
        <f>IFERROR(⑤在庫残高!B11,"")</f>
        <v>0</v>
      </c>
      <c r="C12" s="46">
        <f>IFERROR(⑤在庫残高!G11,"")</f>
        <v>0</v>
      </c>
      <c r="D12" s="44"/>
      <c r="E12" s="54" t="str">
        <f t="shared" si="0"/>
        <v/>
      </c>
      <c r="F12" s="28"/>
      <c r="G12" s="30"/>
    </row>
    <row r="13" spans="1:10" ht="19.5" customHeight="1">
      <c r="A13" s="47">
        <f>IFERROR(⑤在庫残高!A12,"")</f>
        <v>0</v>
      </c>
      <c r="B13" s="24">
        <f>IFERROR(⑤在庫残高!B12,"")</f>
        <v>0</v>
      </c>
      <c r="C13" s="49">
        <f>IFERROR(⑤在庫残高!G12,"")</f>
        <v>0</v>
      </c>
      <c r="D13" s="47"/>
      <c r="E13" s="53" t="str">
        <f t="shared" si="0"/>
        <v/>
      </c>
      <c r="F13" s="24"/>
      <c r="G13" s="26"/>
    </row>
    <row r="14" spans="1:10" ht="19.5" customHeight="1">
      <c r="A14" s="44">
        <f>IFERROR(⑤在庫残高!A13,"")</f>
        <v>0</v>
      </c>
      <c r="B14" s="28">
        <f>IFERROR(⑤在庫残高!B13,"")</f>
        <v>0</v>
      </c>
      <c r="C14" s="46">
        <f>IFERROR(⑤在庫残高!G13,"")</f>
        <v>0</v>
      </c>
      <c r="D14" s="44"/>
      <c r="E14" s="54" t="str">
        <f t="shared" si="0"/>
        <v/>
      </c>
      <c r="F14" s="28"/>
      <c r="G14" s="30"/>
    </row>
    <row r="15" spans="1:10" ht="19.5" customHeight="1">
      <c r="A15" s="47">
        <f>IFERROR(⑤在庫残高!A14,"")</f>
        <v>0</v>
      </c>
      <c r="B15" s="24">
        <f>IFERROR(⑤在庫残高!B14,"")</f>
        <v>0</v>
      </c>
      <c r="C15" s="49">
        <f>IFERROR(⑤在庫残高!G14,"")</f>
        <v>0</v>
      </c>
      <c r="D15" s="47"/>
      <c r="E15" s="53" t="str">
        <f t="shared" si="0"/>
        <v/>
      </c>
      <c r="F15" s="24"/>
      <c r="G15" s="26"/>
    </row>
    <row r="16" spans="1:10" ht="19.5" customHeight="1">
      <c r="A16" s="44">
        <f>IFERROR(⑤在庫残高!A15,"")</f>
        <v>0</v>
      </c>
      <c r="B16" s="28">
        <f>IFERROR(⑤在庫残高!B15,"")</f>
        <v>0</v>
      </c>
      <c r="C16" s="46">
        <f>IFERROR(⑤在庫残高!G15,"")</f>
        <v>0</v>
      </c>
      <c r="D16" s="44"/>
      <c r="E16" s="54" t="str">
        <f t="shared" si="0"/>
        <v/>
      </c>
      <c r="F16" s="28"/>
      <c r="G16" s="30"/>
    </row>
    <row r="17" spans="1:7" ht="19.5" customHeight="1">
      <c r="A17" s="47">
        <f>IFERROR(⑤在庫残高!A16,"")</f>
        <v>0</v>
      </c>
      <c r="B17" s="24">
        <f>IFERROR(⑤在庫残高!B16,"")</f>
        <v>0</v>
      </c>
      <c r="C17" s="49">
        <f>IFERROR(⑤在庫残高!G16,"")</f>
        <v>0</v>
      </c>
      <c r="D17" s="47"/>
      <c r="E17" s="53" t="str">
        <f t="shared" si="0"/>
        <v/>
      </c>
      <c r="F17" s="24"/>
      <c r="G17" s="26"/>
    </row>
    <row r="18" spans="1:7" ht="19.5" customHeight="1">
      <c r="A18" s="44">
        <f>IFERROR(⑤在庫残高!A17,"")</f>
        <v>0</v>
      </c>
      <c r="B18" s="28">
        <f>IFERROR(⑤在庫残高!B17,"")</f>
        <v>0</v>
      </c>
      <c r="C18" s="46">
        <f>IFERROR(⑤在庫残高!G17,"")</f>
        <v>0</v>
      </c>
      <c r="D18" s="44"/>
      <c r="E18" s="54" t="str">
        <f t="shared" si="0"/>
        <v/>
      </c>
      <c r="F18" s="28"/>
      <c r="G18" s="30"/>
    </row>
    <row r="19" spans="1:7" ht="19.5" customHeight="1">
      <c r="A19" s="47">
        <f>IFERROR(⑤在庫残高!A18,"")</f>
        <v>0</v>
      </c>
      <c r="B19" s="24">
        <f>IFERROR(⑤在庫残高!B18,"")</f>
        <v>0</v>
      </c>
      <c r="C19" s="49">
        <f>IFERROR(⑤在庫残高!G18,"")</f>
        <v>0</v>
      </c>
      <c r="D19" s="47"/>
      <c r="E19" s="53" t="str">
        <f t="shared" si="0"/>
        <v/>
      </c>
      <c r="F19" s="24"/>
      <c r="G19" s="26"/>
    </row>
    <row r="20" spans="1:7" ht="19.5" customHeight="1">
      <c r="A20" s="44">
        <f>IFERROR(⑤在庫残高!A19,"")</f>
        <v>0</v>
      </c>
      <c r="B20" s="28">
        <f>IFERROR(⑤在庫残高!B19,"")</f>
        <v>0</v>
      </c>
      <c r="C20" s="46">
        <f>IFERROR(⑤在庫残高!G19,"")</f>
        <v>0</v>
      </c>
      <c r="D20" s="44"/>
      <c r="E20" s="54" t="str">
        <f t="shared" si="0"/>
        <v/>
      </c>
      <c r="F20" s="28"/>
      <c r="G20" s="30"/>
    </row>
    <row r="21" spans="1:7" ht="19.5" customHeight="1">
      <c r="A21" s="47">
        <f>IFERROR(⑤在庫残高!A20,"")</f>
        <v>0</v>
      </c>
      <c r="B21" s="24">
        <f>IFERROR(⑤在庫残高!B20,"")</f>
        <v>0</v>
      </c>
      <c r="C21" s="49">
        <f>IFERROR(⑤在庫残高!G20,"")</f>
        <v>0</v>
      </c>
      <c r="D21" s="47"/>
      <c r="E21" s="53" t="str">
        <f t="shared" si="0"/>
        <v/>
      </c>
      <c r="F21" s="24"/>
      <c r="G21" s="26"/>
    </row>
    <row r="22" spans="1:7" ht="19.5" customHeight="1">
      <c r="A22" s="44">
        <f>IFERROR(⑤在庫残高!A21,"")</f>
        <v>0</v>
      </c>
      <c r="B22" s="28">
        <f>IFERROR(⑤在庫残高!B21,"")</f>
        <v>0</v>
      </c>
      <c r="C22" s="46">
        <f>IFERROR(⑤在庫残高!G21,"")</f>
        <v>0</v>
      </c>
      <c r="D22" s="44"/>
      <c r="E22" s="54" t="str">
        <f t="shared" si="0"/>
        <v/>
      </c>
      <c r="F22" s="28"/>
      <c r="G22" s="30"/>
    </row>
    <row r="23" spans="1:7" ht="19.5" customHeight="1">
      <c r="A23" s="47">
        <f>IFERROR(⑤在庫残高!A22,"")</f>
        <v>0</v>
      </c>
      <c r="B23" s="24">
        <f>IFERROR(⑤在庫残高!B22,"")</f>
        <v>0</v>
      </c>
      <c r="C23" s="49">
        <f>IFERROR(⑤在庫残高!G22,"")</f>
        <v>0</v>
      </c>
      <c r="D23" s="47"/>
      <c r="E23" s="53" t="str">
        <f t="shared" si="0"/>
        <v/>
      </c>
      <c r="F23" s="24"/>
      <c r="G23" s="26"/>
    </row>
    <row r="24" spans="1:7" ht="19.5" customHeight="1">
      <c r="A24" s="44">
        <f>IFERROR(⑤在庫残高!A23,"")</f>
        <v>0</v>
      </c>
      <c r="B24" s="28">
        <f>IFERROR(⑤在庫残高!B23,"")</f>
        <v>0</v>
      </c>
      <c r="C24" s="46">
        <f>IFERROR(⑤在庫残高!G23,"")</f>
        <v>0</v>
      </c>
      <c r="D24" s="44"/>
      <c r="E24" s="54" t="str">
        <f t="shared" si="0"/>
        <v/>
      </c>
      <c r="F24" s="28"/>
      <c r="G24" s="30"/>
    </row>
    <row r="25" spans="1:7" ht="19.5" customHeight="1">
      <c r="A25" s="47">
        <f>IFERROR(⑤在庫残高!A24,"")</f>
        <v>0</v>
      </c>
      <c r="B25" s="24">
        <f>IFERROR(⑤在庫残高!B24,"")</f>
        <v>0</v>
      </c>
      <c r="C25" s="49">
        <f>IFERROR(⑤在庫残高!G24,"")</f>
        <v>0</v>
      </c>
      <c r="D25" s="47"/>
      <c r="E25" s="53" t="str">
        <f t="shared" si="0"/>
        <v/>
      </c>
      <c r="F25" s="24"/>
      <c r="G25" s="26"/>
    </row>
    <row r="26" spans="1:7" ht="19.5" customHeight="1">
      <c r="A26" s="44">
        <f>IFERROR(⑤在庫残高!A25,"")</f>
        <v>0</v>
      </c>
      <c r="B26" s="28">
        <f>IFERROR(⑤在庫残高!B25,"")</f>
        <v>0</v>
      </c>
      <c r="C26" s="46">
        <f>IFERROR(⑤在庫残高!G25,"")</f>
        <v>0</v>
      </c>
      <c r="D26" s="44"/>
      <c r="E26" s="54" t="str">
        <f t="shared" si="0"/>
        <v/>
      </c>
      <c r="F26" s="28"/>
      <c r="G26" s="30"/>
    </row>
    <row r="27" spans="1:7" ht="19.5" customHeight="1">
      <c r="A27" s="47">
        <f>IFERROR(⑤在庫残高!A26,"")</f>
        <v>0</v>
      </c>
      <c r="B27" s="24">
        <f>IFERROR(⑤在庫残高!B26,"")</f>
        <v>0</v>
      </c>
      <c r="C27" s="49">
        <f>IFERROR(⑤在庫残高!G26,"")</f>
        <v>0</v>
      </c>
      <c r="D27" s="47"/>
      <c r="E27" s="53" t="str">
        <f t="shared" si="0"/>
        <v/>
      </c>
      <c r="F27" s="24"/>
      <c r="G27" s="26"/>
    </row>
    <row r="28" spans="1:7" ht="19.5" customHeight="1">
      <c r="A28" s="44">
        <f>IFERROR(⑤在庫残高!A27,"")</f>
        <v>0</v>
      </c>
      <c r="B28" s="28">
        <f>IFERROR(⑤在庫残高!B27,"")</f>
        <v>0</v>
      </c>
      <c r="C28" s="46">
        <f>IFERROR(⑤在庫残高!G27,"")</f>
        <v>0</v>
      </c>
      <c r="D28" s="44"/>
      <c r="E28" s="54" t="str">
        <f t="shared" si="0"/>
        <v/>
      </c>
      <c r="F28" s="28"/>
      <c r="G28" s="30"/>
    </row>
    <row r="29" spans="1:7" ht="19.5" customHeight="1">
      <c r="A29" s="47">
        <f>IFERROR(⑤在庫残高!A28,"")</f>
        <v>0</v>
      </c>
      <c r="B29" s="24">
        <f>IFERROR(⑤在庫残高!B28,"")</f>
        <v>0</v>
      </c>
      <c r="C29" s="49">
        <f>IFERROR(⑤在庫残高!G28,"")</f>
        <v>0</v>
      </c>
      <c r="D29" s="47"/>
      <c r="E29" s="53" t="str">
        <f t="shared" si="0"/>
        <v/>
      </c>
      <c r="F29" s="24"/>
      <c r="G29" s="26"/>
    </row>
    <row r="30" spans="1:7" ht="19.5" customHeight="1">
      <c r="A30" s="44">
        <f>IFERROR(⑤在庫残高!A29,"")</f>
        <v>0</v>
      </c>
      <c r="B30" s="28">
        <f>IFERROR(⑤在庫残高!B29,"")</f>
        <v>0</v>
      </c>
      <c r="C30" s="46">
        <f>IFERROR(⑤在庫残高!G29,"")</f>
        <v>0</v>
      </c>
      <c r="D30" s="44"/>
      <c r="E30" s="54" t="str">
        <f t="shared" si="0"/>
        <v/>
      </c>
      <c r="F30" s="28"/>
      <c r="G30" s="30"/>
    </row>
    <row r="31" spans="1:7" ht="19.5" customHeight="1">
      <c r="A31" s="47">
        <f>IFERROR(⑤在庫残高!A30,"")</f>
        <v>0</v>
      </c>
      <c r="B31" s="24">
        <f>IFERROR(⑤在庫残高!B30,"")</f>
        <v>0</v>
      </c>
      <c r="C31" s="49">
        <f>IFERROR(⑤在庫残高!G30,"")</f>
        <v>0</v>
      </c>
      <c r="D31" s="47"/>
      <c r="E31" s="53" t="str">
        <f t="shared" si="0"/>
        <v/>
      </c>
      <c r="F31" s="24"/>
      <c r="G31" s="26"/>
    </row>
    <row r="32" spans="1:7" ht="19.5" customHeight="1">
      <c r="A32" s="44">
        <f>IFERROR(⑤在庫残高!A31,"")</f>
        <v>0</v>
      </c>
      <c r="B32" s="28">
        <f>IFERROR(⑤在庫残高!B31,"")</f>
        <v>0</v>
      </c>
      <c r="C32" s="46">
        <f>IFERROR(⑤在庫残高!G31,"")</f>
        <v>0</v>
      </c>
      <c r="D32" s="44"/>
      <c r="E32" s="54" t="str">
        <f t="shared" si="0"/>
        <v/>
      </c>
      <c r="F32" s="28"/>
      <c r="G32" s="30"/>
    </row>
    <row r="33" spans="1:7" ht="19.5" customHeight="1">
      <c r="A33" s="47">
        <f>IFERROR(⑤在庫残高!A32,"")</f>
        <v>0</v>
      </c>
      <c r="B33" s="24">
        <f>IFERROR(⑤在庫残高!B32,"")</f>
        <v>0</v>
      </c>
      <c r="C33" s="49">
        <f>IFERROR(⑤在庫残高!G32,"")</f>
        <v>0</v>
      </c>
      <c r="D33" s="47"/>
      <c r="E33" s="53" t="str">
        <f t="shared" si="0"/>
        <v/>
      </c>
      <c r="F33" s="24"/>
      <c r="G33" s="26"/>
    </row>
    <row r="34" spans="1:7" ht="19.5" customHeight="1">
      <c r="A34" s="44">
        <f>IFERROR(⑤在庫残高!A33,"")</f>
        <v>0</v>
      </c>
      <c r="B34" s="28">
        <f>IFERROR(⑤在庫残高!B33,"")</f>
        <v>0</v>
      </c>
      <c r="C34" s="46">
        <f>IFERROR(⑤在庫残高!G33,"")</f>
        <v>0</v>
      </c>
      <c r="D34" s="44"/>
      <c r="E34" s="54" t="str">
        <f t="shared" si="0"/>
        <v/>
      </c>
      <c r="F34" s="28"/>
      <c r="G34" s="30"/>
    </row>
    <row r="35" spans="1:7" ht="19.5" customHeight="1">
      <c r="A35" s="47">
        <f>IFERROR(⑤在庫残高!A34,"")</f>
        <v>0</v>
      </c>
      <c r="B35" s="24">
        <f>IFERROR(⑤在庫残高!B34,"")</f>
        <v>0</v>
      </c>
      <c r="C35" s="49">
        <f>IFERROR(⑤在庫残高!G34,"")</f>
        <v>0</v>
      </c>
      <c r="D35" s="47"/>
      <c r="E35" s="53" t="str">
        <f t="shared" si="0"/>
        <v/>
      </c>
      <c r="F35" s="24"/>
      <c r="G35" s="26"/>
    </row>
    <row r="36" spans="1:7" ht="19.5" customHeight="1">
      <c r="A36" s="44">
        <f>IFERROR(⑤在庫残高!A35,"")</f>
        <v>0</v>
      </c>
      <c r="B36" s="28">
        <f>IFERROR(⑤在庫残高!B35,"")</f>
        <v>0</v>
      </c>
      <c r="C36" s="46">
        <f>IFERROR(⑤在庫残高!G35,"")</f>
        <v>0</v>
      </c>
      <c r="D36" s="44"/>
      <c r="E36" s="54" t="str">
        <f t="shared" si="0"/>
        <v/>
      </c>
      <c r="F36" s="28"/>
      <c r="G36" s="30"/>
    </row>
    <row r="37" spans="1:7" ht="19.5" customHeight="1">
      <c r="A37" s="47">
        <f>IFERROR(⑤在庫残高!A36,"")</f>
        <v>0</v>
      </c>
      <c r="B37" s="24">
        <f>IFERROR(⑤在庫残高!B36,"")</f>
        <v>0</v>
      </c>
      <c r="C37" s="49">
        <f>IFERROR(⑤在庫残高!G36,"")</f>
        <v>0</v>
      </c>
      <c r="D37" s="47"/>
      <c r="E37" s="53" t="str">
        <f t="shared" ref="E37:E68" si="1">IFERROR(IF(AND(C37&lt;&gt;"",D37&lt;&gt;""),D37-C37,""),"")</f>
        <v/>
      </c>
      <c r="F37" s="24"/>
      <c r="G37" s="26"/>
    </row>
    <row r="38" spans="1:7" ht="19.5" customHeight="1">
      <c r="A38" s="44">
        <f>IFERROR(⑤在庫残高!A37,"")</f>
        <v>0</v>
      </c>
      <c r="B38" s="28">
        <f>IFERROR(⑤在庫残高!B37,"")</f>
        <v>0</v>
      </c>
      <c r="C38" s="46">
        <f>IFERROR(⑤在庫残高!G37,"")</f>
        <v>0</v>
      </c>
      <c r="D38" s="44"/>
      <c r="E38" s="54" t="str">
        <f t="shared" si="1"/>
        <v/>
      </c>
      <c r="F38" s="28"/>
      <c r="G38" s="30"/>
    </row>
    <row r="39" spans="1:7" ht="19.5" customHeight="1">
      <c r="A39" s="47">
        <f>IFERROR(⑤在庫残高!A38,"")</f>
        <v>0</v>
      </c>
      <c r="B39" s="24">
        <f>IFERROR(⑤在庫残高!B38,"")</f>
        <v>0</v>
      </c>
      <c r="C39" s="49">
        <f>IFERROR(⑤在庫残高!G38,"")</f>
        <v>0</v>
      </c>
      <c r="D39" s="47"/>
      <c r="E39" s="53" t="str">
        <f t="shared" si="1"/>
        <v/>
      </c>
      <c r="F39" s="24"/>
      <c r="G39" s="26"/>
    </row>
    <row r="40" spans="1:7" ht="19.5" customHeight="1">
      <c r="A40" s="44">
        <f>IFERROR(⑤在庫残高!A39,"")</f>
        <v>0</v>
      </c>
      <c r="B40" s="28">
        <f>IFERROR(⑤在庫残高!B39,"")</f>
        <v>0</v>
      </c>
      <c r="C40" s="46">
        <f>IFERROR(⑤在庫残高!G39,"")</f>
        <v>0</v>
      </c>
      <c r="D40" s="44"/>
      <c r="E40" s="54" t="str">
        <f t="shared" si="1"/>
        <v/>
      </c>
      <c r="F40" s="28"/>
      <c r="G40" s="30"/>
    </row>
    <row r="41" spans="1:7" ht="19.5" customHeight="1">
      <c r="A41" s="47">
        <f>IFERROR(⑤在庫残高!A40,"")</f>
        <v>0</v>
      </c>
      <c r="B41" s="24">
        <f>IFERROR(⑤在庫残高!B40,"")</f>
        <v>0</v>
      </c>
      <c r="C41" s="49">
        <f>IFERROR(⑤在庫残高!G40,"")</f>
        <v>0</v>
      </c>
      <c r="D41" s="47"/>
      <c r="E41" s="53" t="str">
        <f t="shared" si="1"/>
        <v/>
      </c>
      <c r="F41" s="24"/>
      <c r="G41" s="26"/>
    </row>
    <row r="42" spans="1:7" ht="19.5" customHeight="1">
      <c r="A42" s="44">
        <f>IFERROR(⑤在庫残高!A41,"")</f>
        <v>0</v>
      </c>
      <c r="B42" s="28">
        <f>IFERROR(⑤在庫残高!B41,"")</f>
        <v>0</v>
      </c>
      <c r="C42" s="46">
        <f>IFERROR(⑤在庫残高!G41,"")</f>
        <v>0</v>
      </c>
      <c r="D42" s="44"/>
      <c r="E42" s="54" t="str">
        <f t="shared" si="1"/>
        <v/>
      </c>
      <c r="F42" s="28"/>
      <c r="G42" s="30"/>
    </row>
    <row r="43" spans="1:7" ht="19.5" customHeight="1">
      <c r="A43" s="47">
        <f>IFERROR(⑤在庫残高!A42,"")</f>
        <v>0</v>
      </c>
      <c r="B43" s="24">
        <f>IFERROR(⑤在庫残高!B42,"")</f>
        <v>0</v>
      </c>
      <c r="C43" s="49">
        <f>IFERROR(⑤在庫残高!G42,"")</f>
        <v>0</v>
      </c>
      <c r="D43" s="47"/>
      <c r="E43" s="53" t="str">
        <f t="shared" si="1"/>
        <v/>
      </c>
      <c r="F43" s="24"/>
      <c r="G43" s="26"/>
    </row>
    <row r="44" spans="1:7" ht="19.5" customHeight="1">
      <c r="A44" s="44">
        <f>IFERROR(⑤在庫残高!A43,"")</f>
        <v>0</v>
      </c>
      <c r="B44" s="28">
        <f>IFERROR(⑤在庫残高!B43,"")</f>
        <v>0</v>
      </c>
      <c r="C44" s="46">
        <f>IFERROR(⑤在庫残高!G43,"")</f>
        <v>0</v>
      </c>
      <c r="D44" s="44"/>
      <c r="E44" s="54" t="str">
        <f t="shared" si="1"/>
        <v/>
      </c>
      <c r="F44" s="28"/>
      <c r="G44" s="30"/>
    </row>
    <row r="45" spans="1:7" ht="19.5" customHeight="1">
      <c r="A45" s="47">
        <f>IFERROR(⑤在庫残高!A44,"")</f>
        <v>0</v>
      </c>
      <c r="B45" s="24">
        <f>IFERROR(⑤在庫残高!B44,"")</f>
        <v>0</v>
      </c>
      <c r="C45" s="49">
        <f>IFERROR(⑤在庫残高!G44,"")</f>
        <v>0</v>
      </c>
      <c r="D45" s="47"/>
      <c r="E45" s="53" t="str">
        <f t="shared" si="1"/>
        <v/>
      </c>
      <c r="F45" s="24"/>
      <c r="G45" s="26"/>
    </row>
    <row r="46" spans="1:7" ht="19.5" customHeight="1">
      <c r="A46" s="44">
        <f>IFERROR(⑤在庫残高!A45,"")</f>
        <v>0</v>
      </c>
      <c r="B46" s="28">
        <f>IFERROR(⑤在庫残高!B45,"")</f>
        <v>0</v>
      </c>
      <c r="C46" s="46">
        <f>IFERROR(⑤在庫残高!G45,"")</f>
        <v>0</v>
      </c>
      <c r="D46" s="44"/>
      <c r="E46" s="54" t="str">
        <f t="shared" si="1"/>
        <v/>
      </c>
      <c r="F46" s="28"/>
      <c r="G46" s="30"/>
    </row>
    <row r="47" spans="1:7" ht="19.5" customHeight="1">
      <c r="A47" s="47">
        <f>IFERROR(⑤在庫残高!A46,"")</f>
        <v>0</v>
      </c>
      <c r="B47" s="24">
        <f>IFERROR(⑤在庫残高!B46,"")</f>
        <v>0</v>
      </c>
      <c r="C47" s="49">
        <f>IFERROR(⑤在庫残高!G46,"")</f>
        <v>0</v>
      </c>
      <c r="D47" s="47"/>
      <c r="E47" s="53" t="str">
        <f t="shared" si="1"/>
        <v/>
      </c>
      <c r="F47" s="24"/>
      <c r="G47" s="26"/>
    </row>
    <row r="48" spans="1:7" ht="19.5" customHeight="1">
      <c r="A48" s="44">
        <f>IFERROR(⑤在庫残高!A47,"")</f>
        <v>0</v>
      </c>
      <c r="B48" s="28">
        <f>IFERROR(⑤在庫残高!B47,"")</f>
        <v>0</v>
      </c>
      <c r="C48" s="46">
        <f>IFERROR(⑤在庫残高!G47,"")</f>
        <v>0</v>
      </c>
      <c r="D48" s="44"/>
      <c r="E48" s="54" t="str">
        <f t="shared" si="1"/>
        <v/>
      </c>
      <c r="F48" s="28"/>
      <c r="G48" s="30"/>
    </row>
    <row r="49" spans="1:7" ht="19.5" customHeight="1">
      <c r="A49" s="47">
        <f>IFERROR(⑤在庫残高!A48,"")</f>
        <v>0</v>
      </c>
      <c r="B49" s="24">
        <f>IFERROR(⑤在庫残高!B48,"")</f>
        <v>0</v>
      </c>
      <c r="C49" s="49">
        <f>IFERROR(⑤在庫残高!G48,"")</f>
        <v>0</v>
      </c>
      <c r="D49" s="47"/>
      <c r="E49" s="53" t="str">
        <f t="shared" si="1"/>
        <v/>
      </c>
      <c r="F49" s="24"/>
      <c r="G49" s="26"/>
    </row>
    <row r="50" spans="1:7" ht="19.5" customHeight="1">
      <c r="A50" s="44">
        <f>IFERROR(⑤在庫残高!A49,"")</f>
        <v>0</v>
      </c>
      <c r="B50" s="28">
        <f>IFERROR(⑤在庫残高!B49,"")</f>
        <v>0</v>
      </c>
      <c r="C50" s="46">
        <f>IFERROR(⑤在庫残高!G49,"")</f>
        <v>0</v>
      </c>
      <c r="D50" s="44"/>
      <c r="E50" s="54" t="str">
        <f t="shared" si="1"/>
        <v/>
      </c>
      <c r="F50" s="28"/>
      <c r="G50" s="30"/>
    </row>
    <row r="51" spans="1:7" ht="19.5" customHeight="1">
      <c r="A51" s="47">
        <f>IFERROR(⑤在庫残高!A50,"")</f>
        <v>0</v>
      </c>
      <c r="B51" s="24">
        <f>IFERROR(⑤在庫残高!B50,"")</f>
        <v>0</v>
      </c>
      <c r="C51" s="49">
        <f>IFERROR(⑤在庫残高!G50,"")</f>
        <v>0</v>
      </c>
      <c r="D51" s="47"/>
      <c r="E51" s="53" t="str">
        <f t="shared" si="1"/>
        <v/>
      </c>
      <c r="F51" s="24"/>
      <c r="G51" s="26"/>
    </row>
    <row r="52" spans="1:7" ht="19.5" customHeight="1">
      <c r="A52" s="44">
        <f>IFERROR(⑤在庫残高!A51,"")</f>
        <v>0</v>
      </c>
      <c r="B52" s="28">
        <f>IFERROR(⑤在庫残高!B51,"")</f>
        <v>0</v>
      </c>
      <c r="C52" s="46">
        <f>IFERROR(⑤在庫残高!G51,"")</f>
        <v>0</v>
      </c>
      <c r="D52" s="44"/>
      <c r="E52" s="54" t="str">
        <f t="shared" si="1"/>
        <v/>
      </c>
      <c r="F52" s="28"/>
      <c r="G52" s="30"/>
    </row>
    <row r="53" spans="1:7" ht="19.5" customHeight="1">
      <c r="A53" s="47">
        <f>IFERROR(⑤在庫残高!A52,"")</f>
        <v>0</v>
      </c>
      <c r="B53" s="24">
        <f>IFERROR(⑤在庫残高!B52,"")</f>
        <v>0</v>
      </c>
      <c r="C53" s="49">
        <f>IFERROR(⑤在庫残高!G52,"")</f>
        <v>0</v>
      </c>
      <c r="D53" s="47"/>
      <c r="E53" s="53" t="str">
        <f t="shared" si="1"/>
        <v/>
      </c>
      <c r="F53" s="24"/>
      <c r="G53" s="26"/>
    </row>
    <row r="54" spans="1:7" ht="19.5" customHeight="1">
      <c r="A54" s="44">
        <f>IFERROR(⑤在庫残高!A53,"")</f>
        <v>0</v>
      </c>
      <c r="B54" s="28">
        <f>IFERROR(⑤在庫残高!B53,"")</f>
        <v>0</v>
      </c>
      <c r="C54" s="46">
        <f>IFERROR(⑤在庫残高!G53,"")</f>
        <v>0</v>
      </c>
      <c r="D54" s="44"/>
      <c r="E54" s="54" t="str">
        <f t="shared" si="1"/>
        <v/>
      </c>
      <c r="F54" s="28"/>
      <c r="G54" s="30"/>
    </row>
    <row r="55" spans="1:7" ht="19.5" customHeight="1">
      <c r="A55" s="47">
        <f>IFERROR(⑤在庫残高!A54,"")</f>
        <v>0</v>
      </c>
      <c r="B55" s="24">
        <f>IFERROR(⑤在庫残高!B54,"")</f>
        <v>0</v>
      </c>
      <c r="C55" s="49">
        <f>IFERROR(⑤在庫残高!G54,"")</f>
        <v>0</v>
      </c>
      <c r="D55" s="47"/>
      <c r="E55" s="53" t="str">
        <f t="shared" si="1"/>
        <v/>
      </c>
      <c r="F55" s="24"/>
      <c r="G55" s="26"/>
    </row>
    <row r="56" spans="1:7" ht="19.5" customHeight="1">
      <c r="A56" s="44">
        <f>IFERROR(⑤在庫残高!A55,"")</f>
        <v>0</v>
      </c>
      <c r="B56" s="28">
        <f>IFERROR(⑤在庫残高!B55,"")</f>
        <v>0</v>
      </c>
      <c r="C56" s="46">
        <f>IFERROR(⑤在庫残高!G55,"")</f>
        <v>0</v>
      </c>
      <c r="D56" s="44"/>
      <c r="E56" s="54" t="str">
        <f t="shared" si="1"/>
        <v/>
      </c>
      <c r="F56" s="28"/>
      <c r="G56" s="30"/>
    </row>
    <row r="57" spans="1:7" ht="19.5" customHeight="1">
      <c r="A57" s="47">
        <f>IFERROR(⑤在庫残高!A56,"")</f>
        <v>0</v>
      </c>
      <c r="B57" s="24">
        <f>IFERROR(⑤在庫残高!B56,"")</f>
        <v>0</v>
      </c>
      <c r="C57" s="49">
        <f>IFERROR(⑤在庫残高!G56,"")</f>
        <v>0</v>
      </c>
      <c r="D57" s="47"/>
      <c r="E57" s="53" t="str">
        <f t="shared" si="1"/>
        <v/>
      </c>
      <c r="F57" s="24"/>
      <c r="G57" s="26"/>
    </row>
    <row r="58" spans="1:7" ht="19.5" customHeight="1">
      <c r="A58" s="44">
        <f>IFERROR(⑤在庫残高!A57,"")</f>
        <v>0</v>
      </c>
      <c r="B58" s="28">
        <f>IFERROR(⑤在庫残高!B57,"")</f>
        <v>0</v>
      </c>
      <c r="C58" s="46">
        <f>IFERROR(⑤在庫残高!G57,"")</f>
        <v>0</v>
      </c>
      <c r="D58" s="44"/>
      <c r="E58" s="54" t="str">
        <f t="shared" si="1"/>
        <v/>
      </c>
      <c r="F58" s="28"/>
      <c r="G58" s="30"/>
    </row>
    <row r="59" spans="1:7" ht="19.5" customHeight="1">
      <c r="A59" s="47">
        <f>IFERROR(⑤在庫残高!A58,"")</f>
        <v>0</v>
      </c>
      <c r="B59" s="24">
        <f>IFERROR(⑤在庫残高!B58,"")</f>
        <v>0</v>
      </c>
      <c r="C59" s="49">
        <f>IFERROR(⑤在庫残高!G58,"")</f>
        <v>0</v>
      </c>
      <c r="D59" s="47"/>
      <c r="E59" s="53" t="str">
        <f t="shared" si="1"/>
        <v/>
      </c>
      <c r="F59" s="24"/>
      <c r="G59" s="26"/>
    </row>
    <row r="60" spans="1:7" ht="19.5" customHeight="1">
      <c r="A60" s="44">
        <f>IFERROR(⑤在庫残高!A59,"")</f>
        <v>0</v>
      </c>
      <c r="B60" s="28">
        <f>IFERROR(⑤在庫残高!B59,"")</f>
        <v>0</v>
      </c>
      <c r="C60" s="46">
        <f>IFERROR(⑤在庫残高!G59,"")</f>
        <v>0</v>
      </c>
      <c r="D60" s="44"/>
      <c r="E60" s="54" t="str">
        <f t="shared" si="1"/>
        <v/>
      </c>
      <c r="F60" s="28"/>
      <c r="G60" s="30"/>
    </row>
    <row r="61" spans="1:7" ht="19.5" customHeight="1">
      <c r="A61" s="47">
        <f>IFERROR(⑤在庫残高!A60,"")</f>
        <v>0</v>
      </c>
      <c r="B61" s="24">
        <f>IFERROR(⑤在庫残高!B60,"")</f>
        <v>0</v>
      </c>
      <c r="C61" s="49">
        <f>IFERROR(⑤在庫残高!G60,"")</f>
        <v>0</v>
      </c>
      <c r="D61" s="47"/>
      <c r="E61" s="53" t="str">
        <f t="shared" si="1"/>
        <v/>
      </c>
      <c r="F61" s="24"/>
      <c r="G61" s="26"/>
    </row>
    <row r="62" spans="1:7" ht="19.5" customHeight="1">
      <c r="A62" s="44">
        <f>IFERROR(⑤在庫残高!A61,"")</f>
        <v>0</v>
      </c>
      <c r="B62" s="28">
        <f>IFERROR(⑤在庫残高!B61,"")</f>
        <v>0</v>
      </c>
      <c r="C62" s="46">
        <f>IFERROR(⑤在庫残高!G61,"")</f>
        <v>0</v>
      </c>
      <c r="D62" s="44"/>
      <c r="E62" s="54" t="str">
        <f t="shared" si="1"/>
        <v/>
      </c>
      <c r="F62" s="28"/>
      <c r="G62" s="30"/>
    </row>
    <row r="63" spans="1:7" ht="19.5" customHeight="1">
      <c r="A63" s="47">
        <f>IFERROR(⑤在庫残高!A62,"")</f>
        <v>0</v>
      </c>
      <c r="B63" s="24">
        <f>IFERROR(⑤在庫残高!B62,"")</f>
        <v>0</v>
      </c>
      <c r="C63" s="49">
        <f>IFERROR(⑤在庫残高!G62,"")</f>
        <v>0</v>
      </c>
      <c r="D63" s="47"/>
      <c r="E63" s="53" t="str">
        <f t="shared" si="1"/>
        <v/>
      </c>
      <c r="F63" s="24"/>
      <c r="G63" s="26"/>
    </row>
    <row r="64" spans="1:7" ht="19.5" customHeight="1">
      <c r="A64" s="44">
        <f>IFERROR(⑤在庫残高!A63,"")</f>
        <v>0</v>
      </c>
      <c r="B64" s="28">
        <f>IFERROR(⑤在庫残高!B63,"")</f>
        <v>0</v>
      </c>
      <c r="C64" s="46">
        <f>IFERROR(⑤在庫残高!G63,"")</f>
        <v>0</v>
      </c>
      <c r="D64" s="44"/>
      <c r="E64" s="54" t="str">
        <f t="shared" si="1"/>
        <v/>
      </c>
      <c r="F64" s="28"/>
      <c r="G64" s="30"/>
    </row>
    <row r="65" spans="1:7" ht="19.5" customHeight="1">
      <c r="A65" s="47">
        <f>IFERROR(⑤在庫残高!A64,"")</f>
        <v>0</v>
      </c>
      <c r="B65" s="24">
        <f>IFERROR(⑤在庫残高!B64,"")</f>
        <v>0</v>
      </c>
      <c r="C65" s="49">
        <f>IFERROR(⑤在庫残高!G64,"")</f>
        <v>0</v>
      </c>
      <c r="D65" s="47"/>
      <c r="E65" s="53" t="str">
        <f t="shared" si="1"/>
        <v/>
      </c>
      <c r="F65" s="24"/>
      <c r="G65" s="26"/>
    </row>
    <row r="66" spans="1:7" ht="19.5" customHeight="1">
      <c r="A66" s="44">
        <f>IFERROR(⑤在庫残高!A65,"")</f>
        <v>0</v>
      </c>
      <c r="B66" s="28">
        <f>IFERROR(⑤在庫残高!B65,"")</f>
        <v>0</v>
      </c>
      <c r="C66" s="46">
        <f>IFERROR(⑤在庫残高!G65,"")</f>
        <v>0</v>
      </c>
      <c r="D66" s="44"/>
      <c r="E66" s="54" t="str">
        <f t="shared" si="1"/>
        <v/>
      </c>
      <c r="F66" s="28"/>
      <c r="G66" s="30"/>
    </row>
    <row r="67" spans="1:7" ht="19.5" customHeight="1">
      <c r="A67" s="47">
        <f>IFERROR(⑤在庫残高!A66,"")</f>
        <v>0</v>
      </c>
      <c r="B67" s="24">
        <f>IFERROR(⑤在庫残高!B66,"")</f>
        <v>0</v>
      </c>
      <c r="C67" s="49">
        <f>IFERROR(⑤在庫残高!G66,"")</f>
        <v>0</v>
      </c>
      <c r="D67" s="47"/>
      <c r="E67" s="53" t="str">
        <f t="shared" si="1"/>
        <v/>
      </c>
      <c r="F67" s="24"/>
      <c r="G67" s="26"/>
    </row>
    <row r="68" spans="1:7" ht="19.5" customHeight="1">
      <c r="A68" s="44">
        <f>IFERROR(⑤在庫残高!A67,"")</f>
        <v>0</v>
      </c>
      <c r="B68" s="28">
        <f>IFERROR(⑤在庫残高!B67,"")</f>
        <v>0</v>
      </c>
      <c r="C68" s="46">
        <f>IFERROR(⑤在庫残高!G67,"")</f>
        <v>0</v>
      </c>
      <c r="D68" s="44"/>
      <c r="E68" s="54" t="str">
        <f t="shared" si="1"/>
        <v/>
      </c>
      <c r="F68" s="28"/>
      <c r="G68" s="30"/>
    </row>
    <row r="69" spans="1:7" ht="19.5" customHeight="1">
      <c r="A69" s="47">
        <f>IFERROR(⑤在庫残高!A68,"")</f>
        <v>0</v>
      </c>
      <c r="B69" s="24">
        <f>IFERROR(⑤在庫残高!B68,"")</f>
        <v>0</v>
      </c>
      <c r="C69" s="49">
        <f>IFERROR(⑤在庫残高!G68,"")</f>
        <v>0</v>
      </c>
      <c r="D69" s="47"/>
      <c r="E69" s="53" t="str">
        <f t="shared" ref="E69:E100" si="2">IFERROR(IF(AND(C69&lt;&gt;"",D69&lt;&gt;""),D69-C69,""),"")</f>
        <v/>
      </c>
      <c r="F69" s="24"/>
      <c r="G69" s="26"/>
    </row>
    <row r="70" spans="1:7" ht="19.5" customHeight="1">
      <c r="A70" s="44">
        <f>IFERROR(⑤在庫残高!A69,"")</f>
        <v>0</v>
      </c>
      <c r="B70" s="28">
        <f>IFERROR(⑤在庫残高!B69,"")</f>
        <v>0</v>
      </c>
      <c r="C70" s="46">
        <f>IFERROR(⑤在庫残高!G69,"")</f>
        <v>0</v>
      </c>
      <c r="D70" s="44"/>
      <c r="E70" s="54" t="str">
        <f t="shared" si="2"/>
        <v/>
      </c>
      <c r="F70" s="28"/>
      <c r="G70" s="30"/>
    </row>
    <row r="71" spans="1:7" ht="19.5" customHeight="1">
      <c r="A71" s="47">
        <f>IFERROR(⑤在庫残高!A70,"")</f>
        <v>0</v>
      </c>
      <c r="B71" s="24">
        <f>IFERROR(⑤在庫残高!B70,"")</f>
        <v>0</v>
      </c>
      <c r="C71" s="49">
        <f>IFERROR(⑤在庫残高!G70,"")</f>
        <v>0</v>
      </c>
      <c r="D71" s="47"/>
      <c r="E71" s="53" t="str">
        <f t="shared" si="2"/>
        <v/>
      </c>
      <c r="F71" s="24"/>
      <c r="G71" s="26"/>
    </row>
    <row r="72" spans="1:7" ht="19.5" customHeight="1">
      <c r="A72" s="44">
        <f>IFERROR(⑤在庫残高!A71,"")</f>
        <v>0</v>
      </c>
      <c r="B72" s="28">
        <f>IFERROR(⑤在庫残高!B71,"")</f>
        <v>0</v>
      </c>
      <c r="C72" s="46">
        <f>IFERROR(⑤在庫残高!G71,"")</f>
        <v>0</v>
      </c>
      <c r="D72" s="44"/>
      <c r="E72" s="54" t="str">
        <f t="shared" si="2"/>
        <v/>
      </c>
      <c r="F72" s="28"/>
      <c r="G72" s="30"/>
    </row>
    <row r="73" spans="1:7" ht="19.5" customHeight="1">
      <c r="A73" s="47">
        <f>IFERROR(⑤在庫残高!A72,"")</f>
        <v>0</v>
      </c>
      <c r="B73" s="24">
        <f>IFERROR(⑤在庫残高!B72,"")</f>
        <v>0</v>
      </c>
      <c r="C73" s="49">
        <f>IFERROR(⑤在庫残高!G72,"")</f>
        <v>0</v>
      </c>
      <c r="D73" s="47"/>
      <c r="E73" s="53" t="str">
        <f t="shared" si="2"/>
        <v/>
      </c>
      <c r="F73" s="24"/>
      <c r="G73" s="26"/>
    </row>
    <row r="74" spans="1:7" ht="19.5" customHeight="1">
      <c r="A74" s="44">
        <f>IFERROR(⑤在庫残高!A73,"")</f>
        <v>0</v>
      </c>
      <c r="B74" s="28">
        <f>IFERROR(⑤在庫残高!B73,"")</f>
        <v>0</v>
      </c>
      <c r="C74" s="46">
        <f>IFERROR(⑤在庫残高!G73,"")</f>
        <v>0</v>
      </c>
      <c r="D74" s="44"/>
      <c r="E74" s="54" t="str">
        <f t="shared" si="2"/>
        <v/>
      </c>
      <c r="F74" s="28"/>
      <c r="G74" s="30"/>
    </row>
    <row r="75" spans="1:7" ht="19.5" customHeight="1">
      <c r="A75" s="47">
        <f>IFERROR(⑤在庫残高!A74,"")</f>
        <v>0</v>
      </c>
      <c r="B75" s="24">
        <f>IFERROR(⑤在庫残高!B74,"")</f>
        <v>0</v>
      </c>
      <c r="C75" s="49">
        <f>IFERROR(⑤在庫残高!G74,"")</f>
        <v>0</v>
      </c>
      <c r="D75" s="47"/>
      <c r="E75" s="53" t="str">
        <f t="shared" si="2"/>
        <v/>
      </c>
      <c r="F75" s="24"/>
      <c r="G75" s="26"/>
    </row>
    <row r="76" spans="1:7" ht="19.5" customHeight="1">
      <c r="A76" s="44">
        <f>IFERROR(⑤在庫残高!A75,"")</f>
        <v>0</v>
      </c>
      <c r="B76" s="28">
        <f>IFERROR(⑤在庫残高!B75,"")</f>
        <v>0</v>
      </c>
      <c r="C76" s="46">
        <f>IFERROR(⑤在庫残高!G75,"")</f>
        <v>0</v>
      </c>
      <c r="D76" s="44"/>
      <c r="E76" s="54" t="str">
        <f t="shared" si="2"/>
        <v/>
      </c>
      <c r="F76" s="28"/>
      <c r="G76" s="30"/>
    </row>
    <row r="77" spans="1:7" ht="19.5" customHeight="1">
      <c r="A77" s="47">
        <f>IFERROR(⑤在庫残高!A76,"")</f>
        <v>0</v>
      </c>
      <c r="B77" s="24">
        <f>IFERROR(⑤在庫残高!B76,"")</f>
        <v>0</v>
      </c>
      <c r="C77" s="49">
        <f>IFERROR(⑤在庫残高!G76,"")</f>
        <v>0</v>
      </c>
      <c r="D77" s="47"/>
      <c r="E77" s="53" t="str">
        <f t="shared" si="2"/>
        <v/>
      </c>
      <c r="F77" s="24"/>
      <c r="G77" s="26"/>
    </row>
    <row r="78" spans="1:7" ht="19.5" customHeight="1">
      <c r="A78" s="44">
        <f>IFERROR(⑤在庫残高!A77,"")</f>
        <v>0</v>
      </c>
      <c r="B78" s="28">
        <f>IFERROR(⑤在庫残高!B77,"")</f>
        <v>0</v>
      </c>
      <c r="C78" s="46">
        <f>IFERROR(⑤在庫残高!G77,"")</f>
        <v>0</v>
      </c>
      <c r="D78" s="44"/>
      <c r="E78" s="54" t="str">
        <f t="shared" si="2"/>
        <v/>
      </c>
      <c r="F78" s="28"/>
      <c r="G78" s="30"/>
    </row>
    <row r="79" spans="1:7" ht="19.5" customHeight="1">
      <c r="A79" s="47">
        <f>IFERROR(⑤在庫残高!A78,"")</f>
        <v>0</v>
      </c>
      <c r="B79" s="24">
        <f>IFERROR(⑤在庫残高!B78,"")</f>
        <v>0</v>
      </c>
      <c r="C79" s="49">
        <f>IFERROR(⑤在庫残高!G78,"")</f>
        <v>0</v>
      </c>
      <c r="D79" s="47"/>
      <c r="E79" s="53" t="str">
        <f t="shared" si="2"/>
        <v/>
      </c>
      <c r="F79" s="24"/>
      <c r="G79" s="26"/>
    </row>
    <row r="80" spans="1:7" ht="19.5" customHeight="1">
      <c r="A80" s="44">
        <f>IFERROR(⑤在庫残高!A79,"")</f>
        <v>0</v>
      </c>
      <c r="B80" s="28">
        <f>IFERROR(⑤在庫残高!B79,"")</f>
        <v>0</v>
      </c>
      <c r="C80" s="46">
        <f>IFERROR(⑤在庫残高!G79,"")</f>
        <v>0</v>
      </c>
      <c r="D80" s="44"/>
      <c r="E80" s="54" t="str">
        <f t="shared" si="2"/>
        <v/>
      </c>
      <c r="F80" s="28"/>
      <c r="G80" s="30"/>
    </row>
    <row r="81" spans="1:7" ht="19.5" customHeight="1">
      <c r="A81" s="47">
        <f>IFERROR(⑤在庫残高!A80,"")</f>
        <v>0</v>
      </c>
      <c r="B81" s="24">
        <f>IFERROR(⑤在庫残高!B80,"")</f>
        <v>0</v>
      </c>
      <c r="C81" s="49">
        <f>IFERROR(⑤在庫残高!G80,"")</f>
        <v>0</v>
      </c>
      <c r="D81" s="47"/>
      <c r="E81" s="53" t="str">
        <f t="shared" si="2"/>
        <v/>
      </c>
      <c r="F81" s="24"/>
      <c r="G81" s="26"/>
    </row>
    <row r="82" spans="1:7" ht="19.5" customHeight="1">
      <c r="A82" s="44">
        <f>IFERROR(⑤在庫残高!A81,"")</f>
        <v>0</v>
      </c>
      <c r="B82" s="28">
        <f>IFERROR(⑤在庫残高!B81,"")</f>
        <v>0</v>
      </c>
      <c r="C82" s="46">
        <f>IFERROR(⑤在庫残高!G81,"")</f>
        <v>0</v>
      </c>
      <c r="D82" s="44"/>
      <c r="E82" s="54" t="str">
        <f t="shared" si="2"/>
        <v/>
      </c>
      <c r="F82" s="28"/>
      <c r="G82" s="30"/>
    </row>
    <row r="83" spans="1:7" ht="19.5" customHeight="1">
      <c r="A83" s="47">
        <f>IFERROR(⑤在庫残高!A82,"")</f>
        <v>0</v>
      </c>
      <c r="B83" s="24">
        <f>IFERROR(⑤在庫残高!B82,"")</f>
        <v>0</v>
      </c>
      <c r="C83" s="49">
        <f>IFERROR(⑤在庫残高!G82,"")</f>
        <v>0</v>
      </c>
      <c r="D83" s="47"/>
      <c r="E83" s="53" t="str">
        <f t="shared" si="2"/>
        <v/>
      </c>
      <c r="F83" s="24"/>
      <c r="G83" s="26"/>
    </row>
    <row r="84" spans="1:7" ht="19.5" customHeight="1">
      <c r="A84" s="44">
        <f>IFERROR(⑤在庫残高!A83,"")</f>
        <v>0</v>
      </c>
      <c r="B84" s="28">
        <f>IFERROR(⑤在庫残高!B83,"")</f>
        <v>0</v>
      </c>
      <c r="C84" s="46">
        <f>IFERROR(⑤在庫残高!G83,"")</f>
        <v>0</v>
      </c>
      <c r="D84" s="44"/>
      <c r="E84" s="54" t="str">
        <f t="shared" si="2"/>
        <v/>
      </c>
      <c r="F84" s="28"/>
      <c r="G84" s="30"/>
    </row>
    <row r="85" spans="1:7" ht="19.5" customHeight="1">
      <c r="A85" s="47">
        <f>IFERROR(⑤在庫残高!A84,"")</f>
        <v>0</v>
      </c>
      <c r="B85" s="24">
        <f>IFERROR(⑤在庫残高!B84,"")</f>
        <v>0</v>
      </c>
      <c r="C85" s="49">
        <f>IFERROR(⑤在庫残高!G84,"")</f>
        <v>0</v>
      </c>
      <c r="D85" s="47"/>
      <c r="E85" s="53" t="str">
        <f t="shared" si="2"/>
        <v/>
      </c>
      <c r="F85" s="24"/>
      <c r="G85" s="26"/>
    </row>
    <row r="86" spans="1:7" ht="19.5" customHeight="1">
      <c r="A86" s="44">
        <f>IFERROR(⑤在庫残高!A85,"")</f>
        <v>0</v>
      </c>
      <c r="B86" s="28">
        <f>IFERROR(⑤在庫残高!B85,"")</f>
        <v>0</v>
      </c>
      <c r="C86" s="46">
        <f>IFERROR(⑤在庫残高!G85,"")</f>
        <v>0</v>
      </c>
      <c r="D86" s="44"/>
      <c r="E86" s="54" t="str">
        <f t="shared" si="2"/>
        <v/>
      </c>
      <c r="F86" s="28"/>
      <c r="G86" s="30"/>
    </row>
    <row r="87" spans="1:7" ht="19.5" customHeight="1">
      <c r="A87" s="47">
        <f>IFERROR(⑤在庫残高!A86,"")</f>
        <v>0</v>
      </c>
      <c r="B87" s="24">
        <f>IFERROR(⑤在庫残高!B86,"")</f>
        <v>0</v>
      </c>
      <c r="C87" s="49">
        <f>IFERROR(⑤在庫残高!G86,"")</f>
        <v>0</v>
      </c>
      <c r="D87" s="47"/>
      <c r="E87" s="53" t="str">
        <f t="shared" si="2"/>
        <v/>
      </c>
      <c r="F87" s="24"/>
      <c r="G87" s="26"/>
    </row>
    <row r="88" spans="1:7" ht="19.5" customHeight="1">
      <c r="A88" s="44">
        <f>IFERROR(⑤在庫残高!A87,"")</f>
        <v>0</v>
      </c>
      <c r="B88" s="28">
        <f>IFERROR(⑤在庫残高!B87,"")</f>
        <v>0</v>
      </c>
      <c r="C88" s="46">
        <f>IFERROR(⑤在庫残高!G87,"")</f>
        <v>0</v>
      </c>
      <c r="D88" s="44"/>
      <c r="E88" s="54" t="str">
        <f t="shared" si="2"/>
        <v/>
      </c>
      <c r="F88" s="28"/>
      <c r="G88" s="30"/>
    </row>
    <row r="89" spans="1:7" ht="19.5" customHeight="1">
      <c r="A89" s="47">
        <f>IFERROR(⑤在庫残高!A88,"")</f>
        <v>0</v>
      </c>
      <c r="B89" s="24">
        <f>IFERROR(⑤在庫残高!B88,"")</f>
        <v>0</v>
      </c>
      <c r="C89" s="49">
        <f>IFERROR(⑤在庫残高!G88,"")</f>
        <v>0</v>
      </c>
      <c r="D89" s="47"/>
      <c r="E89" s="53" t="str">
        <f t="shared" si="2"/>
        <v/>
      </c>
      <c r="F89" s="24"/>
      <c r="G89" s="26"/>
    </row>
    <row r="90" spans="1:7" ht="19.5" customHeight="1">
      <c r="A90" s="44">
        <f>IFERROR(⑤在庫残高!A89,"")</f>
        <v>0</v>
      </c>
      <c r="B90" s="28">
        <f>IFERROR(⑤在庫残高!B89,"")</f>
        <v>0</v>
      </c>
      <c r="C90" s="46">
        <f>IFERROR(⑤在庫残高!G89,"")</f>
        <v>0</v>
      </c>
      <c r="D90" s="44"/>
      <c r="E90" s="54" t="str">
        <f t="shared" si="2"/>
        <v/>
      </c>
      <c r="F90" s="28"/>
      <c r="G90" s="30"/>
    </row>
    <row r="91" spans="1:7" ht="19.5" customHeight="1">
      <c r="A91" s="47">
        <f>IFERROR(⑤在庫残高!A90,"")</f>
        <v>0</v>
      </c>
      <c r="B91" s="24">
        <f>IFERROR(⑤在庫残高!B90,"")</f>
        <v>0</v>
      </c>
      <c r="C91" s="49">
        <f>IFERROR(⑤在庫残高!G90,"")</f>
        <v>0</v>
      </c>
      <c r="D91" s="47"/>
      <c r="E91" s="53" t="str">
        <f t="shared" si="2"/>
        <v/>
      </c>
      <c r="F91" s="24"/>
      <c r="G91" s="26"/>
    </row>
    <row r="92" spans="1:7" ht="19.5" customHeight="1">
      <c r="A92" s="44">
        <f>IFERROR(⑤在庫残高!A91,"")</f>
        <v>0</v>
      </c>
      <c r="B92" s="28">
        <f>IFERROR(⑤在庫残高!B91,"")</f>
        <v>0</v>
      </c>
      <c r="C92" s="46">
        <f>IFERROR(⑤在庫残高!G91,"")</f>
        <v>0</v>
      </c>
      <c r="D92" s="44"/>
      <c r="E92" s="54" t="str">
        <f t="shared" si="2"/>
        <v/>
      </c>
      <c r="F92" s="28"/>
      <c r="G92" s="30"/>
    </row>
    <row r="93" spans="1:7" ht="19.5" customHeight="1">
      <c r="A93" s="47">
        <f>IFERROR(⑤在庫残高!A92,"")</f>
        <v>0</v>
      </c>
      <c r="B93" s="24">
        <f>IFERROR(⑤在庫残高!B92,"")</f>
        <v>0</v>
      </c>
      <c r="C93" s="49">
        <f>IFERROR(⑤在庫残高!G92,"")</f>
        <v>0</v>
      </c>
      <c r="D93" s="47"/>
      <c r="E93" s="53" t="str">
        <f t="shared" si="2"/>
        <v/>
      </c>
      <c r="F93" s="24"/>
      <c r="G93" s="26"/>
    </row>
    <row r="94" spans="1:7" ht="19.5" customHeight="1">
      <c r="A94" s="44">
        <f>IFERROR(⑤在庫残高!A93,"")</f>
        <v>0</v>
      </c>
      <c r="B94" s="28">
        <f>IFERROR(⑤在庫残高!B93,"")</f>
        <v>0</v>
      </c>
      <c r="C94" s="46">
        <f>IFERROR(⑤在庫残高!G93,"")</f>
        <v>0</v>
      </c>
      <c r="D94" s="44"/>
      <c r="E94" s="54" t="str">
        <f t="shared" si="2"/>
        <v/>
      </c>
      <c r="F94" s="28"/>
      <c r="G94" s="30"/>
    </row>
    <row r="95" spans="1:7" ht="19.5" customHeight="1">
      <c r="A95" s="47">
        <f>IFERROR(⑤在庫残高!A94,"")</f>
        <v>0</v>
      </c>
      <c r="B95" s="24">
        <f>IFERROR(⑤在庫残高!B94,"")</f>
        <v>0</v>
      </c>
      <c r="C95" s="49">
        <f>IFERROR(⑤在庫残高!G94,"")</f>
        <v>0</v>
      </c>
      <c r="D95" s="47"/>
      <c r="E95" s="53" t="str">
        <f t="shared" si="2"/>
        <v/>
      </c>
      <c r="F95" s="24"/>
      <c r="G95" s="26"/>
    </row>
    <row r="96" spans="1:7" ht="19.5" customHeight="1">
      <c r="A96" s="44">
        <f>IFERROR(⑤在庫残高!A95,"")</f>
        <v>0</v>
      </c>
      <c r="B96" s="28">
        <f>IFERROR(⑤在庫残高!B95,"")</f>
        <v>0</v>
      </c>
      <c r="C96" s="46">
        <f>IFERROR(⑤在庫残高!G95,"")</f>
        <v>0</v>
      </c>
      <c r="D96" s="44"/>
      <c r="E96" s="54" t="str">
        <f t="shared" si="2"/>
        <v/>
      </c>
      <c r="F96" s="28"/>
      <c r="G96" s="30"/>
    </row>
    <row r="97" spans="1:7" ht="19.5" customHeight="1">
      <c r="A97" s="47">
        <f>IFERROR(⑤在庫残高!A96,"")</f>
        <v>0</v>
      </c>
      <c r="B97" s="24">
        <f>IFERROR(⑤在庫残高!B96,"")</f>
        <v>0</v>
      </c>
      <c r="C97" s="49">
        <f>IFERROR(⑤在庫残高!G96,"")</f>
        <v>0</v>
      </c>
      <c r="D97" s="47"/>
      <c r="E97" s="53" t="str">
        <f t="shared" si="2"/>
        <v/>
      </c>
      <c r="F97" s="24"/>
      <c r="G97" s="26"/>
    </row>
    <row r="98" spans="1:7" ht="19.5" customHeight="1">
      <c r="A98" s="44">
        <f>IFERROR(⑤在庫残高!A97,"")</f>
        <v>0</v>
      </c>
      <c r="B98" s="28">
        <f>IFERROR(⑤在庫残高!B97,"")</f>
        <v>0</v>
      </c>
      <c r="C98" s="46">
        <f>IFERROR(⑤在庫残高!G97,"")</f>
        <v>0</v>
      </c>
      <c r="D98" s="44"/>
      <c r="E98" s="54" t="str">
        <f t="shared" si="2"/>
        <v/>
      </c>
      <c r="F98" s="28"/>
      <c r="G98" s="30"/>
    </row>
    <row r="99" spans="1:7" ht="19.5" customHeight="1">
      <c r="A99" s="47">
        <f>IFERROR(⑤在庫残高!A98,"")</f>
        <v>0</v>
      </c>
      <c r="B99" s="24">
        <f>IFERROR(⑤在庫残高!B98,"")</f>
        <v>0</v>
      </c>
      <c r="C99" s="49">
        <f>IFERROR(⑤在庫残高!G98,"")</f>
        <v>0</v>
      </c>
      <c r="D99" s="47"/>
      <c r="E99" s="53" t="str">
        <f t="shared" si="2"/>
        <v/>
      </c>
      <c r="F99" s="24"/>
      <c r="G99" s="26"/>
    </row>
    <row r="100" spans="1:7" ht="19.5" customHeight="1">
      <c r="A100" s="44">
        <f>IFERROR(⑤在庫残高!A99,"")</f>
        <v>0</v>
      </c>
      <c r="B100" s="28">
        <f>IFERROR(⑤在庫残高!B99,"")</f>
        <v>0</v>
      </c>
      <c r="C100" s="46">
        <f>IFERROR(⑤在庫残高!G99,"")</f>
        <v>0</v>
      </c>
      <c r="D100" s="44"/>
      <c r="E100" s="54" t="str">
        <f t="shared" si="2"/>
        <v/>
      </c>
      <c r="F100" s="28"/>
      <c r="G100" s="30"/>
    </row>
    <row r="101" spans="1:7" ht="19.5" customHeight="1">
      <c r="A101" s="47">
        <f>IFERROR(⑤在庫残高!A100,"")</f>
        <v>0</v>
      </c>
      <c r="B101" s="24">
        <f>IFERROR(⑤在庫残高!B100,"")</f>
        <v>0</v>
      </c>
      <c r="C101" s="49">
        <f>IFERROR(⑤在庫残高!G100,"")</f>
        <v>0</v>
      </c>
      <c r="D101" s="47"/>
      <c r="E101" s="53" t="str">
        <f t="shared" ref="E101:E132" si="3">IFERROR(IF(AND(C101&lt;&gt;"",D101&lt;&gt;""),D101-C101,""),"")</f>
        <v/>
      </c>
      <c r="F101" s="24"/>
      <c r="G101" s="26"/>
    </row>
    <row r="102" spans="1:7" ht="19.5" customHeight="1">
      <c r="A102" s="44">
        <f>IFERROR(⑤在庫残高!A101,"")</f>
        <v>0</v>
      </c>
      <c r="B102" s="28">
        <f>IFERROR(⑤在庫残高!B101,"")</f>
        <v>0</v>
      </c>
      <c r="C102" s="46">
        <f>IFERROR(⑤在庫残高!G101,"")</f>
        <v>0</v>
      </c>
      <c r="D102" s="44"/>
      <c r="E102" s="54" t="str">
        <f t="shared" si="3"/>
        <v/>
      </c>
      <c r="F102" s="28"/>
      <c r="G102" s="30"/>
    </row>
    <row r="103" spans="1:7" ht="19.5" customHeight="1">
      <c r="A103" s="47">
        <f>IFERROR(⑤在庫残高!A102,"")</f>
        <v>0</v>
      </c>
      <c r="B103" s="24">
        <f>IFERROR(⑤在庫残高!B102,"")</f>
        <v>0</v>
      </c>
      <c r="C103" s="49">
        <f>IFERROR(⑤在庫残高!G102,"")</f>
        <v>0</v>
      </c>
      <c r="D103" s="47"/>
      <c r="E103" s="53" t="str">
        <f t="shared" si="3"/>
        <v/>
      </c>
      <c r="F103" s="24"/>
      <c r="G103" s="26"/>
    </row>
    <row r="104" spans="1:7" ht="19.5" customHeight="1">
      <c r="A104" s="44">
        <f>IFERROR(⑤在庫残高!A103,"")</f>
        <v>0</v>
      </c>
      <c r="B104" s="28">
        <f>IFERROR(⑤在庫残高!B103,"")</f>
        <v>0</v>
      </c>
      <c r="C104" s="46">
        <f>IFERROR(⑤在庫残高!G103,"")</f>
        <v>0</v>
      </c>
      <c r="D104" s="44"/>
      <c r="E104" s="54" t="str">
        <f t="shared" si="3"/>
        <v/>
      </c>
      <c r="F104" s="28"/>
      <c r="G104" s="30"/>
    </row>
    <row r="105" spans="1:7" ht="19.5" customHeight="1">
      <c r="A105" s="47">
        <f>IFERROR(⑤在庫残高!A104,"")</f>
        <v>0</v>
      </c>
      <c r="B105" s="24">
        <f>IFERROR(⑤在庫残高!B104,"")</f>
        <v>0</v>
      </c>
      <c r="C105" s="49">
        <f>IFERROR(⑤在庫残高!G104,"")</f>
        <v>0</v>
      </c>
      <c r="D105" s="47"/>
      <c r="E105" s="53" t="str">
        <f t="shared" si="3"/>
        <v/>
      </c>
      <c r="F105" s="24"/>
      <c r="G105" s="26"/>
    </row>
    <row r="106" spans="1:7" ht="19.5" customHeight="1">
      <c r="A106" s="44">
        <f>IFERROR(⑤在庫残高!A105,"")</f>
        <v>0</v>
      </c>
      <c r="B106" s="28">
        <f>IFERROR(⑤在庫残高!B105,"")</f>
        <v>0</v>
      </c>
      <c r="C106" s="46">
        <f>IFERROR(⑤在庫残高!G105,"")</f>
        <v>0</v>
      </c>
      <c r="D106" s="44"/>
      <c r="E106" s="54" t="str">
        <f t="shared" si="3"/>
        <v/>
      </c>
      <c r="F106" s="28"/>
      <c r="G106" s="30"/>
    </row>
    <row r="107" spans="1:7" ht="19.5" customHeight="1">
      <c r="A107" s="47">
        <f>IFERROR(⑤在庫残高!A106,"")</f>
        <v>0</v>
      </c>
      <c r="B107" s="24">
        <f>IFERROR(⑤在庫残高!B106,"")</f>
        <v>0</v>
      </c>
      <c r="C107" s="49">
        <f>IFERROR(⑤在庫残高!G106,"")</f>
        <v>0</v>
      </c>
      <c r="D107" s="47"/>
      <c r="E107" s="53" t="str">
        <f t="shared" si="3"/>
        <v/>
      </c>
      <c r="F107" s="24"/>
      <c r="G107" s="26"/>
    </row>
  </sheetData>
  <mergeCells count="2">
    <mergeCell ref="A1:J1"/>
    <mergeCell ref="A2:J2"/>
  </mergeCells>
  <phoneticPr fontId="22"/>
  <conditionalFormatting sqref="A5:G107">
    <cfRule type="expression" dxfId="2" priority="2">
      <formula>AND($E5&lt;&gt;"",$E5&lt;&gt;0)</formula>
    </cfRule>
  </conditionalFormatting>
  <conditionalFormatting sqref="G5:G107">
    <cfRule type="cellIs" dxfId="1" priority="3" operator="equal">
      <formula>"確認済"</formula>
    </cfRule>
    <cfRule type="cellIs" dxfId="0" priority="4" operator="equal">
      <formula>"要調査"</formula>
    </cfRule>
  </conditionalFormatting>
  <dataValidations count="1">
    <dataValidation type="list" allowBlank="1" sqref="G5:G107" xr:uid="{00000000-0002-0000-0600-000000000000}">
      <formula1>"確認済,要調査,未確認"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📋 使い方ガイド</vt:lpstr>
      <vt:lpstr>①商品マスタ</vt:lpstr>
      <vt:lpstr>②仕入先マスタ</vt:lpstr>
      <vt:lpstr>③入庫管理</vt:lpstr>
      <vt:lpstr>④出庫管理</vt:lpstr>
      <vt:lpstr>⑤在庫残高</vt:lpstr>
      <vt:lpstr>⑥棚卸しシート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hiromi mitugi</cp:lastModifiedBy>
  <cp:revision>0</cp:revision>
  <dcterms:created xsi:type="dcterms:W3CDTF">2026-05-28T12:05:36Z</dcterms:created>
  <dcterms:modified xsi:type="dcterms:W3CDTF">2026-05-29T03:01:23Z</dcterms:modified>
  <dc:language>en-US</dc:language>
</cp:coreProperties>
</file>