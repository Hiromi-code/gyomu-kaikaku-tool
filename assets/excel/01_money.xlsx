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【IJI】 Dropbox\mitsugi hiromi\グローカル研究所\自動販売ツール\業務改革\制作物\"/>
    </mc:Choice>
  </mc:AlternateContent>
  <xr:revisionPtr revIDLastSave="0" documentId="13_ncr:1_{9CFD7DE9-AF88-47A4-8D74-EA66606EBBE4}" xr6:coauthVersionLast="47" xr6:coauthVersionMax="47" xr10:uidLastSave="{00000000-0000-0000-0000-000000000000}"/>
  <bookViews>
    <workbookView xWindow="57480" yWindow="15990" windowWidth="29040" windowHeight="15720" tabRatio="500" activeTab="2" xr2:uid="{00000000-000D-0000-FFFF-FFFF00000000}"/>
  </bookViews>
  <sheets>
    <sheet name="📋 使い方ガイド" sheetId="1" r:id="rId1"/>
    <sheet name="①CSVペースト" sheetId="2" r:id="rId2"/>
    <sheet name="②収支管理" sheetId="3" r:id="rId3"/>
    <sheet name="③取引先マスタ" sheetId="4" r:id="rId4"/>
    <sheet name="④支払管理" sheetId="5" r:id="rId5"/>
    <sheet name="⑤請求書作成" sheetId="6" r:id="rId6"/>
    <sheet name="⑥入金確認" sheetId="7" r:id="rId7"/>
  </sheets>
  <definedNames>
    <definedName name="_xlnm.Print_Area" localSheetId="5">⑤請求書作成!$A$1:$H$31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3" i="7" l="1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G24" i="6"/>
  <c r="G22" i="6"/>
  <c r="G21" i="6"/>
  <c r="G20" i="6"/>
  <c r="G19" i="6"/>
  <c r="G18" i="6"/>
  <c r="G17" i="6"/>
  <c r="G16" i="6"/>
  <c r="G15" i="6"/>
  <c r="A9" i="6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7" i="3"/>
  <c r="M7" i="3"/>
  <c r="L7" i="3"/>
  <c r="L8" i="3" s="1"/>
  <c r="K7" i="3"/>
  <c r="J7" i="3"/>
  <c r="I7" i="3"/>
  <c r="H7" i="3"/>
  <c r="G7" i="3"/>
  <c r="F7" i="3"/>
  <c r="E7" i="3"/>
  <c r="D7" i="3"/>
  <c r="C7" i="3"/>
  <c r="N6" i="3"/>
  <c r="N8" i="3" s="1"/>
  <c r="M6" i="3"/>
  <c r="L6" i="3"/>
  <c r="K6" i="3"/>
  <c r="J6" i="3"/>
  <c r="I6" i="3"/>
  <c r="H6" i="3"/>
  <c r="G6" i="3"/>
  <c r="F6" i="3"/>
  <c r="E6" i="3"/>
  <c r="D6" i="3"/>
  <c r="D8" i="3" s="1"/>
  <c r="C6" i="3"/>
  <c r="O17" i="3" l="1"/>
  <c r="O19" i="3"/>
  <c r="N20" i="3"/>
  <c r="N22" i="3" s="1"/>
  <c r="I8" i="3"/>
  <c r="I22" i="3" s="1"/>
  <c r="J8" i="3"/>
  <c r="J20" i="3"/>
  <c r="J22" i="3" s="1"/>
  <c r="O7" i="3"/>
  <c r="K20" i="3"/>
  <c r="L20" i="3"/>
  <c r="L22" i="3" s="1"/>
  <c r="E8" i="3"/>
  <c r="F8" i="3"/>
  <c r="O15" i="3"/>
  <c r="G8" i="3"/>
  <c r="C20" i="3"/>
  <c r="O16" i="3"/>
  <c r="O6" i="3"/>
  <c r="O14" i="3"/>
  <c r="H8" i="3"/>
  <c r="D20" i="3"/>
  <c r="F20" i="3"/>
  <c r="O12" i="3"/>
  <c r="O18" i="3"/>
  <c r="M20" i="3"/>
  <c r="H20" i="3"/>
  <c r="D22" i="3"/>
  <c r="E20" i="3"/>
  <c r="K8" i="3"/>
  <c r="K22" i="3" s="1"/>
  <c r="G20" i="3"/>
  <c r="O13" i="3"/>
  <c r="M8" i="3"/>
  <c r="I20" i="3"/>
  <c r="C8" i="3"/>
  <c r="C22" i="3" s="1"/>
  <c r="O11" i="3"/>
  <c r="G26" i="6"/>
  <c r="G27" i="6" s="1"/>
  <c r="H22" i="3" l="1"/>
  <c r="O8" i="3"/>
  <c r="F22" i="3"/>
  <c r="M22" i="3"/>
  <c r="E22" i="3"/>
  <c r="O20" i="3"/>
  <c r="G22" i="3"/>
  <c r="O22" i="3"/>
</calcChain>
</file>

<file path=xl/sharedStrings.xml><?xml version="1.0" encoding="utf-8"?>
<sst xmlns="http://schemas.openxmlformats.org/spreadsheetml/2006/main" count="161" uniqueCount="145">
  <si>
    <t>① お金・支払い管理</t>
  </si>
  <si>
    <t>収支・支払・請求をまとめて管理するテンプレートです</t>
  </si>
  <si>
    <t>📂  シート構成</t>
  </si>
  <si>
    <t>シート名</t>
  </si>
  <si>
    <t>役割</t>
  </si>
  <si>
    <t>主な操作・入力</t>
  </si>
  <si>
    <r>
      <rPr>
        <b/>
        <sz val="10"/>
        <color rgb="FF168788"/>
        <rFont val="Arial"/>
        <family val="2"/>
      </rPr>
      <t>①CSV</t>
    </r>
    <r>
      <rPr>
        <b/>
        <sz val="10"/>
        <color rgb="FF168788"/>
        <rFont val="Noto Sans CJK SC"/>
        <family val="2"/>
      </rPr>
      <t>ペースト</t>
    </r>
  </si>
  <si>
    <r>
      <rPr>
        <sz val="9"/>
        <color rgb="FF1A1A2E"/>
        <rFont val="Noto Sans CJK SC"/>
        <family val="2"/>
      </rPr>
      <t>銀行・カードの</t>
    </r>
    <r>
      <rPr>
        <sz val="9"/>
        <color rgb="FF1A1A2E"/>
        <rFont val="Arial"/>
        <family val="2"/>
      </rPr>
      <t>CSV</t>
    </r>
    <r>
      <rPr>
        <sz val="9"/>
        <color rgb="FF1A1A2E"/>
        <rFont val="Noto Sans CJK SC"/>
        <family val="2"/>
      </rPr>
      <t>データを貼る場所</t>
    </r>
  </si>
  <si>
    <r>
      <rPr>
        <sz val="9"/>
        <color rgb="FF555555"/>
        <rFont val="Noto Sans CJK SC"/>
        <family val="2"/>
      </rPr>
      <t xml:space="preserve">日付・摘要・金額（出金はマイナス）・科目を貼り付け </t>
    </r>
    <r>
      <rPr>
        <sz val="9"/>
        <color rgb="FF555555"/>
        <rFont val="Arial"/>
        <family val="2"/>
      </rPr>
      <t xml:space="preserve">or </t>
    </r>
    <r>
      <rPr>
        <sz val="9"/>
        <color rgb="FF555555"/>
        <rFont val="Noto Sans CJK SC"/>
        <family val="2"/>
      </rPr>
      <t>入力</t>
    </r>
  </si>
  <si>
    <t>②収支管理</t>
  </si>
  <si>
    <r>
      <rPr>
        <sz val="9"/>
        <color rgb="FF1A1A2E"/>
        <rFont val="Noto Sans CJK SC"/>
        <family val="2"/>
      </rPr>
      <t>科目</t>
    </r>
    <r>
      <rPr>
        <sz val="9"/>
        <color rgb="FF1A1A2E"/>
        <rFont val="Arial"/>
        <family val="2"/>
      </rPr>
      <t>×</t>
    </r>
    <r>
      <rPr>
        <sz val="9"/>
        <color rgb="FF1A1A2E"/>
        <rFont val="Noto Sans CJK SC"/>
        <family val="2"/>
      </rPr>
      <t>月のマトリクスで収支を自動集計</t>
    </r>
  </si>
  <si>
    <t>①の入力が完了すると自動更新。科目・月別グラフも自動生成</t>
  </si>
  <si>
    <t>③取引先マスタ</t>
  </si>
  <si>
    <t>定期的な支払先を登録しておく場所</t>
  </si>
  <si>
    <t>取引先名・支払サイクル・標準金額・科目を入力</t>
  </si>
  <si>
    <t>④支払管理</t>
  </si>
  <si>
    <t>月締めの支払一覧。取引先を選ぶだけで金額が入る</t>
  </si>
  <si>
    <t>取引先名を選択→科目・金額が自動参照。済フラグで色分け管理</t>
  </si>
  <si>
    <t>⑤請求書作成</t>
  </si>
  <si>
    <r>
      <rPr>
        <sz val="9"/>
        <color rgb="FF1A1A2E"/>
        <rFont val="Noto Sans CJK SC"/>
        <family val="2"/>
      </rPr>
      <t>印刷・</t>
    </r>
    <r>
      <rPr>
        <sz val="9"/>
        <color rgb="FF1A1A2E"/>
        <rFont val="Arial"/>
        <family val="2"/>
      </rPr>
      <t>PDF</t>
    </r>
    <r>
      <rPr>
        <sz val="9"/>
        <color rgb="FF1A1A2E"/>
        <rFont val="Noto Sans CJK SC"/>
        <family val="2"/>
      </rPr>
      <t>出力用の請求書フォーム</t>
    </r>
  </si>
  <si>
    <r>
      <rPr>
        <sz val="9"/>
        <color rgb="FF555555"/>
        <rFont val="Noto Sans CJK SC"/>
        <family val="2"/>
      </rPr>
      <t>品目・数量・単価を入力→金額・合計・税額が自動計算。</t>
    </r>
    <r>
      <rPr>
        <sz val="9"/>
        <color rgb="FF555555"/>
        <rFont val="Arial"/>
        <family val="2"/>
      </rPr>
      <t>A4</t>
    </r>
    <r>
      <rPr>
        <sz val="9"/>
        <color rgb="FF555555"/>
        <rFont val="Noto Sans CJK SC"/>
        <family val="2"/>
      </rPr>
      <t>縦で印刷可</t>
    </r>
  </si>
  <si>
    <t>⑥入金確認</t>
  </si>
  <si>
    <t>発行した請求書の入金状況を管理</t>
  </si>
  <si>
    <t>請求書番号・請求先・金額・期限を入力。入金日を記録して差額を確認</t>
  </si>
  <si>
    <t>🔗  データの流れ（シート間のつながり）</t>
  </si>
  <si>
    <t>入力元シート</t>
  </si>
  <si>
    <t>参照先シート</t>
  </si>
  <si>
    <t>つながりの内容</t>
  </si>
  <si>
    <r>
      <rPr>
        <b/>
        <sz val="9"/>
        <color rgb="FF168788"/>
        <rFont val="Arial"/>
        <family val="2"/>
      </rPr>
      <t>①CSV</t>
    </r>
    <r>
      <rPr>
        <b/>
        <sz val="9"/>
        <color rgb="FF168788"/>
        <rFont val="Noto Sans CJK SC"/>
        <family val="2"/>
      </rPr>
      <t>ペースト</t>
    </r>
  </si>
  <si>
    <t>科目列と日付列をもとに月別・科目別で自動集計</t>
  </si>
  <si>
    <t>取引先名を選ぶと科目・標準金額を自動参照</t>
  </si>
  <si>
    <t>請求書発行後に請求情報を手動転記して入金状況を追跡</t>
  </si>
  <si>
    <t>💡 ヒント：青字のセルは自動計算セルです。直接入力すると数式が消えるためご注意ください。</t>
  </si>
  <si>
    <t>💡 ヒント：グレーの行と白の行が交互になっています。行を追加する場合は最終行の下に追加してください。</t>
  </si>
  <si>
    <r>
      <rPr>
        <b/>
        <sz val="13"/>
        <color rgb="FF168788"/>
        <rFont val="Arial"/>
        <family val="2"/>
      </rPr>
      <t>① CSV</t>
    </r>
    <r>
      <rPr>
        <b/>
        <sz val="13"/>
        <color rgb="FF168788"/>
        <rFont val="Noto Sans CJK SC"/>
        <family val="2"/>
      </rPr>
      <t>ペースト　― 銀行・カードの</t>
    </r>
    <r>
      <rPr>
        <b/>
        <sz val="13"/>
        <color rgb="FF168788"/>
        <rFont val="Arial"/>
        <family val="2"/>
      </rPr>
      <t>CSV</t>
    </r>
    <r>
      <rPr>
        <b/>
        <sz val="13"/>
        <color rgb="FF168788"/>
        <rFont val="Noto Sans CJK SC"/>
        <family val="2"/>
      </rPr>
      <t>データをここに貼り付けてください</t>
    </r>
  </si>
  <si>
    <t>※ 金額は入金をプラス・出金をマイナスで1列に入力してください　例）入金 +150,000 / 出金 -45,000　　科目を選ぶと②収支管理に自動集計されます</t>
  </si>
  <si>
    <t>日付</t>
  </si>
  <si>
    <t>摘要（取引内容）</t>
  </si>
  <si>
    <t>金額（円）※出金はマイナス</t>
  </si>
  <si>
    <t>残高（円）</t>
  </si>
  <si>
    <t>科目</t>
  </si>
  <si>
    <t>備考</t>
  </si>
  <si>
    <t>〇〇銀行 振込入金</t>
  </si>
  <si>
    <t>売上</t>
  </si>
  <si>
    <t>△△カード 引落し</t>
  </si>
  <si>
    <t>消耗品費</t>
  </si>
  <si>
    <t>事務用品</t>
  </si>
  <si>
    <t>家賃 自動引落し</t>
  </si>
  <si>
    <t>地代家賃</t>
  </si>
  <si>
    <t>② 収支管理　― 科目別・月別の集計表</t>
  </si>
  <si>
    <r>
      <rPr>
        <i/>
        <sz val="9"/>
        <color rgb="FF888888"/>
        <rFont val="Arial"/>
        <family val="2"/>
      </rPr>
      <t>※ ①CSV</t>
    </r>
    <r>
      <rPr>
        <i/>
        <sz val="9"/>
        <color rgb="FF888888"/>
        <rFont val="Noto Sans CJK SC"/>
        <family val="2"/>
      </rPr>
      <t>ペーストシートの「科目」列と「日付」列を正確に入力すると自動集計されます</t>
    </r>
  </si>
  <si>
    <t>科　目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</si>
  <si>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</si>
  <si>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</si>
  <si>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</si>
  <si>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</si>
  <si>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5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</si>
  <si>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6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</si>
  <si>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7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</si>
  <si>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8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</si>
  <si>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9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</si>
  <si>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10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</si>
  <si>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11</t>
    </r>
    <r>
      <rPr>
        <b/>
        <sz val="10"/>
        <color rgb="FFFFFFFF"/>
        <rFont val="Noto Sans CJK SC"/>
        <family val="2"/>
      </rPr>
      <t>月</t>
    </r>
  </si>
  <si>
    <r>
      <rPr>
        <b/>
        <sz val="10"/>
        <color rgb="FFFFFFFF"/>
        <rFont val="Arial"/>
        <family val="2"/>
      </rPr>
      <t>12</t>
    </r>
    <r>
      <rPr>
        <b/>
        <sz val="10"/>
        <color rgb="FFFFFFFF"/>
        <rFont val="Noto Sans CJK SC"/>
        <family val="2"/>
      </rPr>
      <t>月</t>
    </r>
  </si>
  <si>
    <t>年間合計</t>
  </si>
  <si>
    <t>【収　入】</t>
  </si>
  <si>
    <t>　売上</t>
  </si>
  <si>
    <t>　その他収入</t>
  </si>
  <si>
    <t>　収入合計</t>
  </si>
  <si>
    <t>【支　出】</t>
  </si>
  <si>
    <t>　仕入</t>
  </si>
  <si>
    <t>　交通費</t>
  </si>
  <si>
    <t>　通信費</t>
  </si>
  <si>
    <t>　消耗品費</t>
  </si>
  <si>
    <t>　外注費</t>
  </si>
  <si>
    <t>　地代家賃</t>
  </si>
  <si>
    <t>　広告宣伝費</t>
  </si>
  <si>
    <t>　水道光熱費</t>
  </si>
  <si>
    <t>　雑費</t>
  </si>
  <si>
    <t>　支出合計</t>
  </si>
  <si>
    <t>　差引（収入－支出）</t>
  </si>
  <si>
    <t>③ 取引先マスタ　― 支払先を登録しておくと④支払管理で選択できます</t>
  </si>
  <si>
    <t>取引先ID</t>
  </si>
  <si>
    <t>取引先名</t>
  </si>
  <si>
    <t>担当者</t>
  </si>
  <si>
    <t>連絡先</t>
  </si>
  <si>
    <t>支払サイクル</t>
  </si>
  <si>
    <t>標準金額（円）</t>
  </si>
  <si>
    <t>T001</t>
  </si>
  <si>
    <t>〇〇家主</t>
  </si>
  <si>
    <t>山田太郎</t>
  </si>
  <si>
    <t>090-XXXX-XXXX</t>
  </si>
  <si>
    <t>月末払い</t>
  </si>
  <si>
    <t>T002</t>
  </si>
  <si>
    <t>△△通信</t>
  </si>
  <si>
    <t>0120-XXX-XXX</t>
  </si>
  <si>
    <t>月次払い</t>
  </si>
  <si>
    <t>通信費</t>
  </si>
  <si>
    <t>T003</t>
  </si>
  <si>
    <t>□□商事</t>
  </si>
  <si>
    <t>鈴木花子</t>
  </si>
  <si>
    <t>03-XXXX-XXXX</t>
  </si>
  <si>
    <t>都度払い</t>
  </si>
  <si>
    <t>仕入</t>
  </si>
  <si>
    <t>④ 支払管理（月締め）　― 取引先を選ぶと金額・科目が自動入力されます</t>
  </si>
  <si>
    <t>※ 取引先名を選択すると③取引先マスタから金額・科目を自動参照します</t>
  </si>
  <si>
    <t>支払月</t>
  </si>
  <si>
    <t>金額（円）</t>
  </si>
  <si>
    <t>支払予定日</t>
  </si>
  <si>
    <t>支払済フラグ</t>
  </si>
  <si>
    <t>請　求　書</t>
  </si>
  <si>
    <t>請　求　先</t>
  </si>
  <si>
    <t>請求書番号</t>
  </si>
  <si>
    <t>INV-001</t>
  </si>
  <si>
    <t>　〇〇株式会社　御中</t>
  </si>
  <si>
    <t>発　行　日</t>
  </si>
  <si>
    <t>支払期限</t>
  </si>
  <si>
    <t>　担当：　　　　　　　　　　　　　様</t>
  </si>
  <si>
    <t>下記の通りご請求申し上げます。</t>
  </si>
  <si>
    <t>【発行者情報】</t>
  </si>
  <si>
    <t>（消費税込）</t>
  </si>
  <si>
    <t>会社名・屋号</t>
  </si>
  <si>
    <t>住　　所</t>
  </si>
  <si>
    <t>電 話 番 号</t>
  </si>
  <si>
    <t>品目・内容</t>
  </si>
  <si>
    <t>摘要</t>
  </si>
  <si>
    <t>数量</t>
  </si>
  <si>
    <t>単価（円）</t>
  </si>
  <si>
    <t>小　計</t>
  </si>
  <si>
    <t>消費税率</t>
  </si>
  <si>
    <t>（変更可）</t>
  </si>
  <si>
    <t>消費税額</t>
  </si>
  <si>
    <t>ご請求金額</t>
  </si>
  <si>
    <t>【お振込先】</t>
  </si>
  <si>
    <t>　銀行名：　　　　　　　　支店名：　　　　　　　　口座種別：　普通 / 当座　　口座番号：　　　　　　　　名義：</t>
  </si>
  <si>
    <t>【備考・注意事項】</t>
  </si>
  <si>
    <t>※ 請求後は請求書番号・請求先・金額・支払期限を⑥入金確認シートに転記してください</t>
  </si>
  <si>
    <t>⑥ 入金確認　― 請求ごとの入金状況を管理します</t>
  </si>
  <si>
    <t>請求先</t>
  </si>
  <si>
    <t>請求金額（円）</t>
  </si>
  <si>
    <t>請求日</t>
  </si>
  <si>
    <t>入金日</t>
  </si>
  <si>
    <t>入金額（円）</t>
  </si>
  <si>
    <t>差額（円）</t>
  </si>
  <si>
    <t>状態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</si>
</sst>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m/dd"/>
    <numFmt numFmtId="177" formatCode="#,##0;[Red]\-#,##0;\-"/>
    <numFmt numFmtId="178" formatCode="#,##0;\-#,##0;\-"/>
    <numFmt numFmtId="179" formatCode="yyyy/mm"/>
    <numFmt numFmtId="180" formatCode="yyyy&quot;年&quot;mm&quot;月&quot;dd&quot;日&quot;"/>
  </numFmts>
  <fonts count="44">
    <font>
      <sz val="11"/>
      <color theme="1"/>
      <name val="Calibri"/>
      <family val="2"/>
      <charset val="1"/>
    </font>
    <font>
      <b/>
      <sz val="20"/>
      <color rgb="FFFFFFFF"/>
      <name val="Noto Sans CJK SC"/>
      <family val="2"/>
    </font>
    <font>
      <i/>
      <sz val="10"/>
      <color rgb="FF168788"/>
      <name val="Noto Sans CJK SC"/>
      <family val="2"/>
    </font>
    <font>
      <b/>
      <sz val="12"/>
      <color rgb="FFFFFFFF"/>
      <name val="Noto Sans CJK SC"/>
      <family val="2"/>
    </font>
    <font>
      <b/>
      <sz val="9"/>
      <color rgb="FFFFFFFF"/>
      <name val="Noto Sans CJK SC"/>
      <family val="2"/>
    </font>
    <font>
      <b/>
      <sz val="10"/>
      <color rgb="FF168788"/>
      <name val="Arial"/>
      <family val="2"/>
    </font>
    <font>
      <b/>
      <sz val="10"/>
      <color rgb="FF168788"/>
      <name val="Noto Sans CJK SC"/>
      <family val="2"/>
    </font>
    <font>
      <sz val="9"/>
      <color rgb="FF1A1A2E"/>
      <name val="Noto Sans CJK SC"/>
      <family val="2"/>
    </font>
    <font>
      <sz val="9"/>
      <color rgb="FF1A1A2E"/>
      <name val="Arial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2"/>
    </font>
    <font>
      <b/>
      <sz val="9"/>
      <color rgb="FF168788"/>
      <name val="Arial"/>
      <family val="2"/>
    </font>
    <font>
      <b/>
      <sz val="9"/>
      <color rgb="FF168788"/>
      <name val="Noto Sans CJK SC"/>
      <family val="2"/>
    </font>
    <font>
      <i/>
      <sz val="9"/>
      <color rgb="FFE06930"/>
      <name val="Noto Sans CJK SC"/>
      <family val="2"/>
    </font>
    <font>
      <i/>
      <sz val="9"/>
      <color rgb="FF888888"/>
      <name val="Noto Sans CJK SC"/>
      <family val="2"/>
    </font>
    <font>
      <b/>
      <sz val="13"/>
      <color rgb="FF168788"/>
      <name val="Arial"/>
      <family val="2"/>
    </font>
    <font>
      <b/>
      <sz val="13"/>
      <color rgb="FF168788"/>
      <name val="Noto Sans CJK SC"/>
      <family val="2"/>
    </font>
    <font>
      <sz val="10"/>
      <name val="Arial"/>
      <family val="2"/>
    </font>
    <font>
      <i/>
      <sz val="9"/>
      <color rgb="FF888888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0"/>
      <color rgb="FF1A1A2E"/>
      <name val="Arial"/>
      <family val="2"/>
    </font>
    <font>
      <i/>
      <sz val="10"/>
      <color rgb="FFAAAAAA"/>
      <name val="Noto Sans CJK SC"/>
      <family val="2"/>
      <charset val="1"/>
    </font>
    <font>
      <i/>
      <sz val="10"/>
      <color rgb="FFAAAAAA"/>
      <name val="Arial"/>
      <family val="2"/>
    </font>
    <font>
      <b/>
      <sz val="13"/>
      <color rgb="FF168788"/>
      <name val="Noto Sans CJK SC"/>
      <family val="2"/>
      <charset val="1"/>
    </font>
    <font>
      <i/>
      <sz val="9"/>
      <color rgb="FF888888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10"/>
      <color rgb="FF1A1A2E"/>
      <name val="Noto Sans CJK SC"/>
      <family val="2"/>
      <charset val="1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family val="2"/>
    </font>
    <font>
      <b/>
      <sz val="22"/>
      <color rgb="FF1C559A"/>
      <name val="Noto Sans CJK SC"/>
      <family val="2"/>
      <charset val="1"/>
    </font>
    <font>
      <b/>
      <i/>
      <sz val="9"/>
      <color rgb="FF888888"/>
      <name val="Noto Sans CJK SC"/>
      <family val="2"/>
      <charset val="1"/>
    </font>
    <font>
      <b/>
      <sz val="9"/>
      <color rgb="FF1A1A2E"/>
      <name val="Noto Sans CJK SC"/>
      <family val="2"/>
      <charset val="1"/>
    </font>
    <font>
      <b/>
      <sz val="16"/>
      <color rgb="FF1A1A2E"/>
      <name val="Noto Sans CJK SC"/>
      <family val="2"/>
      <charset val="1"/>
    </font>
    <font>
      <b/>
      <sz val="9"/>
      <color rgb="FF168788"/>
      <name val="Noto Sans CJK SC"/>
      <family val="2"/>
      <charset val="1"/>
    </font>
    <font>
      <b/>
      <sz val="20"/>
      <color rgb="FF1C559A"/>
      <name val="Arial"/>
      <family val="2"/>
    </font>
    <font>
      <sz val="9"/>
      <color rgb="FF888888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i/>
      <sz val="8"/>
      <color rgb="FF888888"/>
      <name val="Noto Sans CJK SC"/>
      <family val="2"/>
      <charset val="1"/>
    </font>
    <font>
      <b/>
      <sz val="13"/>
      <color rgb="FF1C559A"/>
      <name val="Arial"/>
      <family val="2"/>
    </font>
    <font>
      <i/>
      <sz val="8"/>
      <color rgb="FFAAAAAA"/>
      <name val="Noto Sans CJK SC"/>
      <family val="2"/>
      <charset val="1"/>
    </font>
    <font>
      <sz val="6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168788"/>
        <bgColor rgb="FF0070C0"/>
      </patternFill>
    </fill>
    <fill>
      <patternFill patternType="solid">
        <fgColor rgb="FF477A8B"/>
        <bgColor rgb="FF4B7AB3"/>
      </patternFill>
    </fill>
    <fill>
      <patternFill patternType="solid">
        <fgColor rgb="FFE1F5EE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1C559A"/>
        <bgColor rgb="FF3D6796"/>
      </patternFill>
    </fill>
    <fill>
      <patternFill patternType="solid">
        <fgColor rgb="FFE06930"/>
        <bgColor rgb="FFD3803B"/>
      </patternFill>
    </fill>
    <fill>
      <patternFill patternType="solid">
        <fgColor rgb="FFFEF0E6"/>
        <bgColor rgb="FFF5F5F5"/>
      </patternFill>
    </fill>
    <fill>
      <patternFill patternType="solid">
        <fgColor rgb="FF4472C4"/>
        <bgColor rgb="FF4B7AB3"/>
      </patternFill>
    </fill>
    <fill>
      <patternFill patternType="solid">
        <fgColor rgb="FFD6E4F7"/>
        <bgColor rgb="FFDDDDDD"/>
      </patternFill>
    </fill>
    <fill>
      <patternFill patternType="solid">
        <fgColor rgb="FFF5F5F5"/>
        <bgColor rgb="FFFEF0E6"/>
      </patternFill>
    </fill>
  </fills>
  <borders count="15">
    <border>
      <left/>
      <right/>
      <top/>
      <bottom/>
      <diagonal/>
    </border>
    <border>
      <left style="medium">
        <color rgb="FF168788"/>
      </left>
      <right/>
      <top style="medium">
        <color rgb="FF168788"/>
      </top>
      <bottom style="medium">
        <color rgb="FF168788"/>
      </bottom>
      <diagonal/>
    </border>
    <border>
      <left style="thin">
        <color rgb="FF168788"/>
      </left>
      <right/>
      <top style="thin">
        <color rgb="FF168788"/>
      </top>
      <bottom style="thin">
        <color rgb="FF1687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 style="thin">
        <color rgb="FF1C559A"/>
      </left>
      <right style="thin">
        <color rgb="FF1C559A"/>
      </right>
      <top style="thin">
        <color rgb="FF1C559A"/>
      </top>
      <bottom style="thin">
        <color rgb="FF1C559A"/>
      </bottom>
      <diagonal/>
    </border>
    <border>
      <left style="thin">
        <color rgb="FF168788"/>
      </left>
      <right style="thin">
        <color rgb="FF168788"/>
      </right>
      <top style="thin">
        <color rgb="FF168788"/>
      </top>
      <bottom style="thin">
        <color rgb="FF168788"/>
      </bottom>
      <diagonal/>
    </border>
    <border>
      <left style="thin">
        <color rgb="FFE06930"/>
      </left>
      <right/>
      <top style="thin">
        <color rgb="FFE06930"/>
      </top>
      <bottom style="thin">
        <color rgb="FFE06930"/>
      </bottom>
      <diagonal/>
    </border>
    <border>
      <left style="thin">
        <color rgb="FFE06930"/>
      </left>
      <right style="thin">
        <color rgb="FFE06930"/>
      </right>
      <top style="thin">
        <color rgb="FFE06930"/>
      </top>
      <bottom style="thin">
        <color rgb="FFE0693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1C559A"/>
      </left>
      <right/>
      <top style="medium">
        <color rgb="FF1C559A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C559A"/>
      </left>
      <right style="medium">
        <color rgb="FF1C559A"/>
      </right>
      <top style="medium">
        <color rgb="FF1C559A"/>
      </top>
      <bottom style="medium">
        <color rgb="FF1C559A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4" fillId="10" borderId="10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19" fillId="7" borderId="7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24" fillId="0" borderId="0" xfId="0" applyFont="1"/>
    <xf numFmtId="0" fontId="23" fillId="0" borderId="0" xfId="0" applyFont="1"/>
    <xf numFmtId="0" fontId="18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3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/>
    <xf numFmtId="0" fontId="19" fillId="6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76" fontId="2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177" fontId="22" fillId="0" borderId="4" xfId="0" applyNumberFormat="1" applyFont="1" applyBorder="1" applyAlignment="1">
      <alignment horizontal="right" vertical="center"/>
    </xf>
    <xf numFmtId="178" fontId="22" fillId="0" borderId="4" xfId="0" applyNumberFormat="1" applyFont="1" applyBorder="1" applyAlignment="1">
      <alignment horizontal="right" vertical="center"/>
    </xf>
    <xf numFmtId="0" fontId="22" fillId="0" borderId="4" xfId="0" applyFont="1" applyBorder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0" fillId="0" borderId="4" xfId="0" applyFont="1" applyBorder="1" applyAlignment="1">
      <alignment horizontal="left" vertical="center"/>
    </xf>
    <xf numFmtId="177" fontId="20" fillId="0" borderId="4" xfId="0" applyNumberFormat="1" applyFont="1" applyBorder="1" applyAlignment="1">
      <alignment horizontal="right" vertical="center"/>
    </xf>
    <xf numFmtId="178" fontId="20" fillId="0" borderId="4" xfId="0" applyNumberFormat="1" applyFont="1" applyBorder="1" applyAlignment="1">
      <alignment horizontal="right" vertical="center"/>
    </xf>
    <xf numFmtId="0" fontId="23" fillId="0" borderId="0" xfId="0" applyFont="1"/>
    <xf numFmtId="0" fontId="19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left" vertical="center"/>
    </xf>
    <xf numFmtId="177" fontId="28" fillId="4" borderId="3" xfId="0" applyNumberFormat="1" applyFont="1" applyFill="1" applyBorder="1" applyAlignment="1">
      <alignment horizontal="right" vertical="center"/>
    </xf>
    <xf numFmtId="177" fontId="29" fillId="4" borderId="3" xfId="0" applyNumberFormat="1" applyFont="1" applyFill="1" applyBorder="1" applyAlignment="1">
      <alignment horizontal="right" vertical="center"/>
    </xf>
    <xf numFmtId="0" fontId="19" fillId="2" borderId="6" xfId="0" applyFont="1" applyFill="1" applyBorder="1" applyAlignment="1">
      <alignment horizontal="left" vertical="center"/>
    </xf>
    <xf numFmtId="177" fontId="25" fillId="2" borderId="6" xfId="0" applyNumberFormat="1" applyFont="1" applyFill="1" applyBorder="1" applyAlignment="1">
      <alignment horizontal="right" vertical="center"/>
    </xf>
    <xf numFmtId="0" fontId="27" fillId="8" borderId="3" xfId="0" applyFont="1" applyFill="1" applyBorder="1" applyAlignment="1">
      <alignment horizontal="left" vertical="center"/>
    </xf>
    <xf numFmtId="177" fontId="28" fillId="8" borderId="3" xfId="0" applyNumberFormat="1" applyFont="1" applyFill="1" applyBorder="1" applyAlignment="1">
      <alignment horizontal="right" vertical="center"/>
    </xf>
    <xf numFmtId="177" fontId="29" fillId="8" borderId="3" xfId="0" applyNumberFormat="1" applyFont="1" applyFill="1" applyBorder="1" applyAlignment="1">
      <alignment horizontal="right" vertical="center"/>
    </xf>
    <xf numFmtId="0" fontId="19" fillId="7" borderId="8" xfId="0" applyFont="1" applyFill="1" applyBorder="1" applyAlignment="1">
      <alignment horizontal="left" vertical="center"/>
    </xf>
    <xf numFmtId="177" fontId="25" fillId="7" borderId="8" xfId="0" applyNumberFormat="1" applyFont="1" applyFill="1" applyBorder="1" applyAlignment="1">
      <alignment horizontal="right" vertical="center"/>
    </xf>
    <xf numFmtId="0" fontId="30" fillId="9" borderId="9" xfId="0" applyFont="1" applyFill="1" applyBorder="1" applyAlignment="1">
      <alignment horizontal="left" vertical="center"/>
    </xf>
    <xf numFmtId="177" fontId="31" fillId="9" borderId="9" xfId="0" applyNumberFormat="1" applyFont="1" applyFill="1" applyBorder="1" applyAlignment="1">
      <alignment horizontal="right" vertical="center"/>
    </xf>
    <xf numFmtId="0" fontId="22" fillId="0" borderId="4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79" fontId="20" fillId="0" borderId="4" xfId="0" applyNumberFormat="1" applyFont="1" applyBorder="1" applyAlignment="1">
      <alignment horizontal="center" vertical="center" wrapText="1"/>
    </xf>
    <xf numFmtId="49" fontId="28" fillId="0" borderId="4" xfId="0" applyNumberFormat="1" applyFont="1" applyBorder="1" applyAlignment="1">
      <alignment horizontal="left" vertical="center" wrapText="1"/>
    </xf>
    <xf numFmtId="178" fontId="28" fillId="0" borderId="4" xfId="0" applyNumberFormat="1" applyFont="1" applyBorder="1" applyAlignment="1">
      <alignment horizontal="right" vertical="center"/>
    </xf>
    <xf numFmtId="176" fontId="20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9" fillId="6" borderId="13" xfId="0" applyFont="1" applyFill="1" applyBorder="1" applyAlignment="1">
      <alignment horizontal="center" vertical="center"/>
    </xf>
    <xf numFmtId="3" fontId="20" fillId="5" borderId="13" xfId="0" applyNumberFormat="1" applyFont="1" applyFill="1" applyBorder="1" applyAlignment="1">
      <alignment horizontal="center" vertical="center"/>
    </xf>
    <xf numFmtId="3" fontId="20" fillId="5" borderId="13" xfId="0" applyNumberFormat="1" applyFont="1" applyFill="1" applyBorder="1" applyAlignment="1">
      <alignment horizontal="right" vertical="center"/>
    </xf>
    <xf numFmtId="3" fontId="28" fillId="5" borderId="13" xfId="0" applyNumberFormat="1" applyFont="1" applyFill="1" applyBorder="1" applyAlignment="1">
      <alignment horizontal="right" vertical="center"/>
    </xf>
    <xf numFmtId="0" fontId="8" fillId="5" borderId="13" xfId="0" applyFont="1" applyFill="1" applyBorder="1" applyAlignment="1">
      <alignment horizontal="left" vertical="center" wrapText="1"/>
    </xf>
    <xf numFmtId="3" fontId="20" fillId="11" borderId="13" xfId="0" applyNumberFormat="1" applyFont="1" applyFill="1" applyBorder="1" applyAlignment="1">
      <alignment horizontal="center" vertical="center"/>
    </xf>
    <xf numFmtId="3" fontId="20" fillId="11" borderId="13" xfId="0" applyNumberFormat="1" applyFont="1" applyFill="1" applyBorder="1" applyAlignment="1">
      <alignment horizontal="right" vertical="center"/>
    </xf>
    <xf numFmtId="3" fontId="28" fillId="11" borderId="13" xfId="0" applyNumberFormat="1" applyFont="1" applyFill="1" applyBorder="1" applyAlignment="1">
      <alignment horizontal="right" vertical="center"/>
    </xf>
    <xf numFmtId="0" fontId="8" fillId="11" borderId="13" xfId="0" applyFont="1" applyFill="1" applyBorder="1" applyAlignment="1">
      <alignment horizontal="left" vertical="center" wrapText="1"/>
    </xf>
    <xf numFmtId="0" fontId="34" fillId="10" borderId="13" xfId="0" applyFont="1" applyFill="1" applyBorder="1" applyAlignment="1">
      <alignment horizontal="center" vertical="center"/>
    </xf>
    <xf numFmtId="3" fontId="20" fillId="0" borderId="13" xfId="0" applyNumberFormat="1" applyFont="1" applyBorder="1" applyAlignment="1">
      <alignment horizontal="right" vertical="center"/>
    </xf>
    <xf numFmtId="9" fontId="20" fillId="0" borderId="13" xfId="0" applyNumberFormat="1" applyFont="1" applyBorder="1" applyAlignment="1">
      <alignment horizontal="center" vertical="center"/>
    </xf>
    <xf numFmtId="0" fontId="40" fillId="0" borderId="0" xfId="0" applyFont="1"/>
    <xf numFmtId="3" fontId="28" fillId="0" borderId="13" xfId="0" applyNumberFormat="1" applyFont="1" applyBorder="1" applyAlignment="1">
      <alignment horizontal="right" vertical="center"/>
    </xf>
    <xf numFmtId="0" fontId="19" fillId="6" borderId="13" xfId="0" applyFont="1" applyFill="1" applyBorder="1" applyAlignment="1">
      <alignment horizontal="center" vertical="center"/>
    </xf>
    <xf numFmtId="3" fontId="41" fillId="0" borderId="14" xfId="0" applyNumberFormat="1" applyFont="1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80" fontId="20" fillId="0" borderId="10" xfId="0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7" fillId="10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11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39" fillId="6" borderId="10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left" vertical="center"/>
    </xf>
    <xf numFmtId="0" fontId="20" fillId="11" borderId="10" xfId="0" applyFont="1" applyFill="1" applyBorder="1" applyAlignment="1">
      <alignment horizontal="left" vertical="center"/>
    </xf>
    <xf numFmtId="0" fontId="0" fillId="0" borderId="0" xfId="0"/>
    <xf numFmtId="0" fontId="20" fillId="0" borderId="0" xfId="0" applyFont="1" applyAlignment="1">
      <alignment horizontal="left" vertical="center"/>
    </xf>
    <xf numFmtId="0" fontId="27" fillId="0" borderId="10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/>
    </xf>
    <xf numFmtId="0" fontId="42" fillId="0" borderId="0" xfId="0" applyFont="1"/>
  </cellXfs>
  <cellStyles count="1">
    <cellStyle name="標準" xfId="0" builtinId="0"/>
  </cellStyles>
  <dxfs count="4"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276221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3803B"/>
      <rgbColor rgb="FFA8C378"/>
      <rgbColor rgb="FFD9D9D9"/>
      <rgbColor rgb="FFFBD3C0"/>
      <rgbColor rgb="FFD09493"/>
      <rgbColor rgb="FFC1DAE4"/>
      <rgbColor rgb="FF9C0006"/>
      <rgbColor rgb="FF276221"/>
      <rgbColor rgb="FFC0D2A3"/>
      <rgbColor rgb="FF7B9547"/>
      <rgbColor rgb="FFC77372"/>
      <rgbColor rgb="FF168788"/>
      <rgbColor rgb="FFCCC5D7"/>
      <rgbColor rgb="FF888889"/>
      <rgbColor rgb="FFA1B3D3"/>
      <rgbColor rgb="FF993E3B"/>
      <rgbColor rgb="FFFEF0E6"/>
      <rgbColor rgb="FFE1F5EE"/>
      <rgbColor rgb="FFCCCCCC"/>
      <rgbColor rgb="FFF7A46E"/>
      <rgbColor rgb="FF0070C0"/>
      <rgbColor rgb="FFC2CCE1"/>
      <rgbColor rgb="FFDDDDDD"/>
      <rgbColor rgb="FFE2C2C1"/>
      <rgbColor rgb="FFD4E0C3"/>
      <rgbColor rgb="FFB8CD97"/>
      <rgbColor rgb="FFB3B3B3"/>
      <rgbColor rgb="FFB66E33"/>
      <rgbColor rgb="FF3D6796"/>
      <rgbColor rgb="FFFFC7CE"/>
      <rgbColor rgb="FF4B7AB3"/>
      <rgbColor rgb="FFD6E4F7"/>
      <rgbColor rgb="FFC6EFCE"/>
      <rgbColor rgb="FFF5F5F5"/>
      <rgbColor rgb="FF9FC9D9"/>
      <rgbColor rgb="FFD5A1A0"/>
      <rgbColor rgb="FFB3A7C4"/>
      <rgbColor rgb="FFF9BD9E"/>
      <rgbColor rgb="FF4472C4"/>
      <rgbColor rgb="FF7DA7CB"/>
      <rgbColor rgb="FF8FAC52"/>
      <rgbColor rgb="FFDC853E"/>
      <rgbColor rgb="FFEB8F42"/>
      <rgbColor rgb="FFE06930"/>
      <rgbColor rgb="FF765C95"/>
      <rgbColor rgb="FFAAAAAA"/>
      <rgbColor rgb="FF664F81"/>
      <rgbColor rgb="FF439BB2"/>
      <rgbColor rgb="FF477A8B"/>
      <rgbColor rgb="FF555555"/>
      <rgbColor rgb="FFB74C49"/>
      <rgbColor rgb="FFAB4744"/>
      <rgbColor rgb="FF1C559A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支出内訳（年間）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A05-43CC-990D-E7D3B294F750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A05-43CC-990D-E7D3B294F750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A05-43CC-990D-E7D3B294F750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CA05-43CC-990D-E7D3B294F750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A05-43CC-990D-E7D3B294F750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CA05-43CC-990D-E7D3B294F750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CA05-43CC-990D-E7D3B294F750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CA05-43CC-990D-E7D3B294F750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CA05-43CC-990D-E7D3B294F75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A05-43CC-990D-E7D3B294F75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A05-43CC-990D-E7D3B294F75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A05-43CC-990D-E7D3B294F75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A05-43CC-990D-E7D3B294F75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A05-43CC-990D-E7D3B294F75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A05-43CC-990D-E7D3B294F75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A05-43CC-990D-E7D3B294F75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CA05-43CC-990D-E7D3B294F75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CA05-43CC-990D-E7D3B294F7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②収支管理!$B$11:$B$19</c:f>
              <c:strCache>
                <c:ptCount val="9"/>
                <c:pt idx="0">
                  <c:v>　仕入</c:v>
                </c:pt>
                <c:pt idx="1">
                  <c:v>　交通費</c:v>
                </c:pt>
                <c:pt idx="2">
                  <c:v>　通信費</c:v>
                </c:pt>
                <c:pt idx="3">
                  <c:v>　消耗品費</c:v>
                </c:pt>
                <c:pt idx="4">
                  <c:v>　外注費</c:v>
                </c:pt>
                <c:pt idx="5">
                  <c:v>　地代家賃</c:v>
                </c:pt>
                <c:pt idx="6">
                  <c:v>　広告宣伝費</c:v>
                </c:pt>
                <c:pt idx="7">
                  <c:v>　水道光熱費</c:v>
                </c:pt>
                <c:pt idx="8">
                  <c:v>　雑費</c:v>
                </c:pt>
              </c:strCache>
            </c:strRef>
          </c:cat>
          <c:val>
            <c:numRef>
              <c:f>②収支管理!$O$11:$O$19</c:f>
              <c:numCache>
                <c:formatCode>#,##0;[Red]\-#,##0;\-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45000</c:v>
                </c:pt>
                <c:pt idx="4">
                  <c:v>0</c:v>
                </c:pt>
                <c:pt idx="5">
                  <c:v>80000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A05-43CC-990D-E7D3B294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ja-JP" altLang="en-US" sz="1800" b="1" strike="noStrike" spc="-1">
                <a:solidFill>
                  <a:srgbClr val="000000"/>
                </a:solidFill>
                <a:latin typeface="Calibri"/>
              </a:rPr>
              <a:t>月別収支推移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収入合計</c:v>
          </c:tx>
          <c:spPr>
            <a:solidFill>
              <a:srgbClr val="3A5F8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②収支管理!$C$8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F-4245-9066-4FC93758C6FD}"/>
            </c:ext>
          </c:extLst>
        </c:ser>
        <c:ser>
          <c:idx val="1"/>
          <c:order val="1"/>
          <c:tx>
            <c:v>支出合計</c:v>
          </c:tx>
          <c:spPr>
            <a:solidFill>
              <a:srgbClr val="8E3B3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②収支管理!$D$8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0F-4245-9066-4FC93758C6FD}"/>
            </c:ext>
          </c:extLst>
        </c:ser>
        <c:ser>
          <c:idx val="2"/>
          <c:order val="2"/>
          <c:tx>
            <c:v>差引</c:v>
          </c:tx>
          <c:spPr>
            <a:solidFill>
              <a:srgbClr val="728A4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②収支管理!$E$8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0F-4245-9066-4FC93758C6FD}"/>
            </c:ext>
          </c:extLst>
        </c:ser>
        <c:ser>
          <c:idx val="3"/>
          <c:order val="3"/>
          <c:spPr>
            <a:solidFill>
              <a:srgbClr val="5E497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②収支管理!$F$8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0F-4245-9066-4FC93758C6FD}"/>
            </c:ext>
          </c:extLst>
        </c:ser>
        <c:ser>
          <c:idx val="4"/>
          <c:order val="4"/>
          <c:spPr>
            <a:solidFill>
              <a:srgbClr val="377F9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②収支管理!$G$8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0F-4245-9066-4FC93758C6FD}"/>
            </c:ext>
          </c:extLst>
        </c:ser>
        <c:ser>
          <c:idx val="5"/>
          <c:order val="5"/>
          <c:spPr>
            <a:solidFill>
              <a:srgbClr val="B66E3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②収支管理!$H$8</c:f>
              <c:numCache>
                <c:formatCode>#,##0;[Red]\-#,##0;\-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0F-4245-9066-4FC93758C6FD}"/>
            </c:ext>
          </c:extLst>
        </c:ser>
        <c:ser>
          <c:idx val="6"/>
          <c:order val="6"/>
          <c:spPr>
            <a:solidFill>
              <a:srgbClr val="436EA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②収支管理!$I$8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0F-4245-9066-4FC93758C6FD}"/>
            </c:ext>
          </c:extLst>
        </c:ser>
        <c:ser>
          <c:idx val="7"/>
          <c:order val="7"/>
          <c:spPr>
            <a:solidFill>
              <a:srgbClr val="A4444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②収支管理!$J$8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0F-4245-9066-4FC93758C6FD}"/>
            </c:ext>
          </c:extLst>
        </c:ser>
        <c:ser>
          <c:idx val="8"/>
          <c:order val="8"/>
          <c:spPr>
            <a:solidFill>
              <a:srgbClr val="84A04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②収支管理!$K$8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0F-4245-9066-4FC93758C6FD}"/>
            </c:ext>
          </c:extLst>
        </c:ser>
        <c:ser>
          <c:idx val="9"/>
          <c:order val="9"/>
          <c:spPr>
            <a:solidFill>
              <a:srgbClr val="6D558A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②収支管理!$L$8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0F-4245-9066-4FC93758C6FD}"/>
            </c:ext>
          </c:extLst>
        </c:ser>
        <c:ser>
          <c:idx val="10"/>
          <c:order val="10"/>
          <c:spPr>
            <a:solidFill>
              <a:srgbClr val="4093A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②収支管理!$M$8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0F-4245-9066-4FC93758C6FD}"/>
            </c:ext>
          </c:extLst>
        </c:ser>
        <c:ser>
          <c:idx val="11"/>
          <c:order val="11"/>
          <c:spPr>
            <a:solidFill>
              <a:srgbClr val="D3803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②収支管理!$N$8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F0F-4245-9066-4FC93758C6FD}"/>
            </c:ext>
          </c:extLst>
        </c:ser>
        <c:ser>
          <c:idx val="12"/>
          <c:order val="12"/>
          <c:spPr>
            <a:solidFill>
              <a:srgbClr val="4B7BB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②収支管理!$C$20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0F-4245-9066-4FC93758C6FD}"/>
            </c:ext>
          </c:extLst>
        </c:ser>
        <c:ser>
          <c:idx val="13"/>
          <c:order val="13"/>
          <c:spPr>
            <a:solidFill>
              <a:srgbClr val="B74C4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②収支管理!$D$20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F0F-4245-9066-4FC93758C6FD}"/>
            </c:ext>
          </c:extLst>
        </c:ser>
        <c:ser>
          <c:idx val="14"/>
          <c:order val="14"/>
          <c:spPr>
            <a:solidFill>
              <a:srgbClr val="94B25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②収支管理!$E$20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F0F-4245-9066-4FC93758C6FD}"/>
            </c:ext>
          </c:extLst>
        </c:ser>
        <c:ser>
          <c:idx val="15"/>
          <c:order val="15"/>
          <c:spPr>
            <a:solidFill>
              <a:srgbClr val="7A5F9A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②収支管理!$F$20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F0F-4245-9066-4FC93758C6FD}"/>
            </c:ext>
          </c:extLst>
        </c:ser>
        <c:ser>
          <c:idx val="16"/>
          <c:order val="16"/>
          <c:spPr>
            <a:solidFill>
              <a:srgbClr val="47A4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②収支管理!$G$20</c:f>
              <c:numCache>
                <c:formatCode>#,##0;[Red]\-#,##0;\-</c:formatCode>
                <c:ptCount val="1"/>
                <c:pt idx="0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F0F-4245-9066-4FC93758C6FD}"/>
            </c:ext>
          </c:extLst>
        </c:ser>
        <c:ser>
          <c:idx val="17"/>
          <c:order val="17"/>
          <c:spPr>
            <a:solidFill>
              <a:srgbClr val="EB8F4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②収支管理!$H$20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F0F-4245-9066-4FC93758C6FD}"/>
            </c:ext>
          </c:extLst>
        </c:ser>
        <c:ser>
          <c:idx val="18"/>
          <c:order val="18"/>
          <c:spPr>
            <a:solidFill>
              <a:srgbClr val="7394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②収支管理!$I$20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F0F-4245-9066-4FC93758C6FD}"/>
            </c:ext>
          </c:extLst>
        </c:ser>
        <c:ser>
          <c:idx val="19"/>
          <c:order val="19"/>
          <c:spPr>
            <a:solidFill>
              <a:srgbClr val="C7737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②収支管理!$J$20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F0F-4245-9066-4FC93758C6FD}"/>
            </c:ext>
          </c:extLst>
        </c:ser>
        <c:ser>
          <c:idx val="20"/>
          <c:order val="20"/>
          <c:spPr>
            <a:solidFill>
              <a:srgbClr val="A8C37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②収支管理!$K$20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F0F-4245-9066-4FC93758C6FD}"/>
            </c:ext>
          </c:extLst>
        </c:ser>
        <c:ser>
          <c:idx val="21"/>
          <c:order val="21"/>
          <c:spPr>
            <a:solidFill>
              <a:srgbClr val="937FA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②収支管理!$L$20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F0F-4245-9066-4FC93758C6FD}"/>
            </c:ext>
          </c:extLst>
        </c:ser>
        <c:ser>
          <c:idx val="22"/>
          <c:order val="22"/>
          <c:spPr>
            <a:solidFill>
              <a:srgbClr val="71B6C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②収支管理!$M$20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F0F-4245-9066-4FC93758C6FD}"/>
            </c:ext>
          </c:extLst>
        </c:ser>
        <c:ser>
          <c:idx val="23"/>
          <c:order val="23"/>
          <c:spPr>
            <a:solidFill>
              <a:srgbClr val="F7A46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②収支管理!$N$20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F0F-4245-9066-4FC93758C6FD}"/>
            </c:ext>
          </c:extLst>
        </c:ser>
        <c:ser>
          <c:idx val="24"/>
          <c:order val="24"/>
          <c:spPr>
            <a:solidFill>
              <a:srgbClr val="A1B3D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②収支管理!$C$22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F0F-4245-9066-4FC93758C6FD}"/>
            </c:ext>
          </c:extLst>
        </c:ser>
        <c:ser>
          <c:idx val="25"/>
          <c:order val="25"/>
          <c:spPr>
            <a:solidFill>
              <a:srgbClr val="D5A1A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②収支管理!$D$22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F0F-4245-9066-4FC93758C6FD}"/>
            </c:ext>
          </c:extLst>
        </c:ser>
        <c:ser>
          <c:idx val="26"/>
          <c:order val="26"/>
          <c:spPr>
            <a:solidFill>
              <a:srgbClr val="C0D2A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②収支管理!$E$22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F0F-4245-9066-4FC93758C6FD}"/>
            </c:ext>
          </c:extLst>
        </c:ser>
        <c:ser>
          <c:idx val="27"/>
          <c:order val="27"/>
          <c:spPr>
            <a:solidFill>
              <a:srgbClr val="B3A7C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②収支管理!$F$22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F0F-4245-9066-4FC93758C6FD}"/>
            </c:ext>
          </c:extLst>
        </c:ser>
        <c:ser>
          <c:idx val="28"/>
          <c:order val="28"/>
          <c:spPr>
            <a:solidFill>
              <a:srgbClr val="9FC9D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②収支管理!$G$22</c:f>
              <c:numCache>
                <c:formatCode>#,##0;[Red]\-#,##0;\-</c:formatCode>
                <c:ptCount val="1"/>
                <c:pt idx="0">
                  <c:v>-125000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F0F-4245-9066-4FC93758C6FD}"/>
            </c:ext>
          </c:extLst>
        </c:ser>
        <c:ser>
          <c:idx val="29"/>
          <c:order val="29"/>
          <c:spPr>
            <a:solidFill>
              <a:srgbClr val="F9BD9E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②収支管理!$H$22</c:f>
              <c:numCache>
                <c:formatCode>#,##0;[Red]\-#,##0;\-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F0F-4245-9066-4FC93758C6FD}"/>
            </c:ext>
          </c:extLst>
        </c:ser>
        <c:ser>
          <c:idx val="30"/>
          <c:order val="30"/>
          <c:spPr>
            <a:solidFill>
              <a:srgbClr val="C2CCE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②収支管理!$I$22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F0F-4245-9066-4FC93758C6FD}"/>
            </c:ext>
          </c:extLst>
        </c:ser>
        <c:ser>
          <c:idx val="31"/>
          <c:order val="31"/>
          <c:spPr>
            <a:solidFill>
              <a:srgbClr val="E2C2C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②収支管理!$J$22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F0F-4245-9066-4FC93758C6FD}"/>
            </c:ext>
          </c:extLst>
        </c:ser>
        <c:ser>
          <c:idx val="32"/>
          <c:order val="32"/>
          <c:spPr>
            <a:solidFill>
              <a:srgbClr val="D4E0C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②収支管理!$K$22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F0F-4245-9066-4FC93758C6FD}"/>
            </c:ext>
          </c:extLst>
        </c:ser>
        <c:ser>
          <c:idx val="33"/>
          <c:order val="33"/>
          <c:spPr>
            <a:solidFill>
              <a:srgbClr val="CCC5D7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②収支管理!$L$22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F0F-4245-9066-4FC93758C6FD}"/>
            </c:ext>
          </c:extLst>
        </c:ser>
        <c:ser>
          <c:idx val="34"/>
          <c:order val="34"/>
          <c:spPr>
            <a:solidFill>
              <a:srgbClr val="C1DAE4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②収支管理!$M$22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F0F-4245-9066-4FC93758C6FD}"/>
            </c:ext>
          </c:extLst>
        </c:ser>
        <c:ser>
          <c:idx val="35"/>
          <c:order val="35"/>
          <c:spPr>
            <a:solidFill>
              <a:srgbClr val="FBD3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②収支管理!$C$4:$N$4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②収支管理!$N$22</c:f>
              <c:numCache>
                <c:formatCode>#,##0;[Red]\-#,##0;\-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F0F-4245-9066-4FC93758C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60908"/>
        <c:axId val="19629901"/>
      </c:barChart>
      <c:catAx>
        <c:axId val="145609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9629901"/>
        <c:crosses val="autoZero"/>
        <c:auto val="1"/>
        <c:lblAlgn val="ctr"/>
        <c:lblOffset val="100"/>
        <c:noMultiLvlLbl val="0"/>
      </c:catAx>
      <c:valAx>
        <c:axId val="196299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ja-JP" altLang="en-US" sz="1000" b="1" strike="noStrike" spc="-1">
                    <a:solidFill>
                      <a:srgbClr val="000000"/>
                    </a:solidFill>
                    <a:latin typeface="Calibri"/>
                  </a:rPr>
                  <a:t>金額（円）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-#,##0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4560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6</xdr:col>
      <xdr:colOff>668880</xdr:colOff>
      <xdr:row>41</xdr:row>
      <xdr:rowOff>169920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18</xdr:col>
      <xdr:colOff>392760</xdr:colOff>
      <xdr:row>41</xdr:row>
      <xdr:rowOff>169920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8788"/>
  </sheetPr>
  <dimension ref="B1:D23"/>
  <sheetViews>
    <sheetView showGridLines="0" zoomScaleNormal="100" workbookViewId="0">
      <selection activeCell="I18" sqref="I18"/>
    </sheetView>
  </sheetViews>
  <sheetFormatPr defaultColWidth="8.6328125" defaultRowHeight="14.5"/>
  <cols>
    <col min="1" max="1" width="3" customWidth="1"/>
    <col min="2" max="2" width="24" customWidth="1"/>
    <col min="3" max="4" width="36" customWidth="1"/>
    <col min="5" max="5" width="3" customWidth="1"/>
  </cols>
  <sheetData>
    <row r="1" spans="2:4" ht="7.5" customHeight="1"/>
    <row r="2" spans="2:4" ht="39.75" customHeight="1">
      <c r="B2" s="14" t="s">
        <v>0</v>
      </c>
      <c r="C2" s="14"/>
      <c r="D2" s="14"/>
    </row>
    <row r="3" spans="2:4" ht="21.75" customHeight="1">
      <c r="B3" s="13" t="s">
        <v>1</v>
      </c>
      <c r="C3" s="13"/>
      <c r="D3" s="13"/>
    </row>
    <row r="4" spans="2:4" ht="7.5" customHeight="1"/>
    <row r="5" spans="2:4" ht="25.5" customHeight="1">
      <c r="B5" s="12" t="s">
        <v>2</v>
      </c>
      <c r="C5" s="12"/>
      <c r="D5" s="12"/>
    </row>
    <row r="6" spans="2:4" ht="21.75" customHeight="1">
      <c r="B6" s="15" t="s">
        <v>3</v>
      </c>
      <c r="C6" s="15" t="s">
        <v>4</v>
      </c>
      <c r="D6" s="15" t="s">
        <v>5</v>
      </c>
    </row>
    <row r="7" spans="2:4" ht="27.75" customHeight="1">
      <c r="B7" s="16" t="s">
        <v>6</v>
      </c>
      <c r="C7" s="17" t="s">
        <v>7</v>
      </c>
      <c r="D7" s="18" t="s">
        <v>8</v>
      </c>
    </row>
    <row r="8" spans="2:4" ht="27.75" customHeight="1">
      <c r="B8" s="19" t="s">
        <v>9</v>
      </c>
      <c r="C8" s="20" t="s">
        <v>10</v>
      </c>
      <c r="D8" s="21" t="s">
        <v>11</v>
      </c>
    </row>
    <row r="9" spans="2:4" ht="27.75" customHeight="1">
      <c r="B9" s="22" t="s">
        <v>12</v>
      </c>
      <c r="C9" s="17" t="s">
        <v>13</v>
      </c>
      <c r="D9" s="18" t="s">
        <v>14</v>
      </c>
    </row>
    <row r="10" spans="2:4" ht="27.75" customHeight="1">
      <c r="B10" s="19" t="s">
        <v>15</v>
      </c>
      <c r="C10" s="20" t="s">
        <v>16</v>
      </c>
      <c r="D10" s="21" t="s">
        <v>17</v>
      </c>
    </row>
    <row r="11" spans="2:4" ht="27.75" customHeight="1">
      <c r="B11" s="22" t="s">
        <v>18</v>
      </c>
      <c r="C11" s="17" t="s">
        <v>19</v>
      </c>
      <c r="D11" s="18" t="s">
        <v>20</v>
      </c>
    </row>
    <row r="12" spans="2:4" ht="27.75" customHeight="1">
      <c r="B12" s="19" t="s">
        <v>21</v>
      </c>
      <c r="C12" s="20" t="s">
        <v>22</v>
      </c>
      <c r="D12" s="21" t="s">
        <v>23</v>
      </c>
    </row>
    <row r="14" spans="2:4" ht="12" customHeight="1"/>
    <row r="15" spans="2:4" ht="25.5" customHeight="1">
      <c r="B15" s="12" t="s">
        <v>24</v>
      </c>
      <c r="C15" s="12"/>
      <c r="D15" s="12"/>
    </row>
    <row r="16" spans="2:4" ht="21.75" customHeight="1">
      <c r="B16" s="15" t="s">
        <v>25</v>
      </c>
      <c r="C16" s="15" t="s">
        <v>26</v>
      </c>
      <c r="D16" s="15" t="s">
        <v>27</v>
      </c>
    </row>
    <row r="17" spans="2:4" ht="24" customHeight="1">
      <c r="B17" s="23" t="s">
        <v>28</v>
      </c>
      <c r="C17" s="24" t="s">
        <v>9</v>
      </c>
      <c r="D17" s="17" t="s">
        <v>29</v>
      </c>
    </row>
    <row r="18" spans="2:4" ht="24" customHeight="1">
      <c r="B18" s="25" t="s">
        <v>12</v>
      </c>
      <c r="C18" s="25" t="s">
        <v>15</v>
      </c>
      <c r="D18" s="20" t="s">
        <v>30</v>
      </c>
    </row>
    <row r="19" spans="2:4" ht="24" customHeight="1">
      <c r="B19" s="24" t="s">
        <v>18</v>
      </c>
      <c r="C19" s="24" t="s">
        <v>21</v>
      </c>
      <c r="D19" s="17" t="s">
        <v>31</v>
      </c>
    </row>
    <row r="22" spans="2:4" ht="19.5" customHeight="1">
      <c r="B22" s="11" t="s">
        <v>32</v>
      </c>
      <c r="C22" s="11"/>
      <c r="D22" s="11"/>
    </row>
    <row r="23" spans="2:4" ht="19.5" customHeight="1">
      <c r="B23" s="10" t="s">
        <v>33</v>
      </c>
      <c r="C23" s="10"/>
      <c r="D23" s="10"/>
    </row>
  </sheetData>
  <mergeCells count="6">
    <mergeCell ref="B23:D23"/>
    <mergeCell ref="B2:D2"/>
    <mergeCell ref="B3:D3"/>
    <mergeCell ref="B5:D5"/>
    <mergeCell ref="B15:D15"/>
    <mergeCell ref="B22:D22"/>
  </mergeCells>
  <phoneticPr fontId="43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8788"/>
  </sheetPr>
  <dimension ref="A1:G103"/>
  <sheetViews>
    <sheetView zoomScaleNormal="100" workbookViewId="0">
      <pane ySplit="3" topLeftCell="A4" activePane="bottomLeft" state="frozen"/>
      <selection pane="bottomLeft" activeCell="B26" sqref="B26"/>
    </sheetView>
  </sheetViews>
  <sheetFormatPr defaultColWidth="8.6328125" defaultRowHeight="14.5"/>
  <cols>
    <col min="1" max="1" width="14" customWidth="1"/>
    <col min="2" max="2" width="40" customWidth="1"/>
    <col min="3" max="6" width="18" customWidth="1"/>
    <col min="7" max="7" width="20" customWidth="1"/>
  </cols>
  <sheetData>
    <row r="1" spans="1:7" ht="24" customHeight="1">
      <c r="A1" s="9" t="s">
        <v>34</v>
      </c>
      <c r="B1" s="9"/>
      <c r="C1" s="9"/>
      <c r="D1" s="9"/>
      <c r="E1" s="9"/>
      <c r="F1" s="9"/>
      <c r="G1" s="26"/>
    </row>
    <row r="2" spans="1:7" ht="15.75" customHeight="1">
      <c r="A2" s="8" t="s">
        <v>35</v>
      </c>
      <c r="B2" s="8"/>
      <c r="C2" s="8"/>
      <c r="D2" s="8"/>
      <c r="E2" s="8"/>
      <c r="F2" s="8"/>
      <c r="G2" s="26"/>
    </row>
    <row r="3" spans="1:7" ht="30" customHeight="1">
      <c r="A3" s="28" t="s">
        <v>36</v>
      </c>
      <c r="B3" s="28" t="s">
        <v>37</v>
      </c>
      <c r="C3" s="28" t="s">
        <v>38</v>
      </c>
      <c r="D3" s="28" t="s">
        <v>39</v>
      </c>
      <c r="E3" s="28" t="s">
        <v>40</v>
      </c>
      <c r="F3" s="28" t="s">
        <v>41</v>
      </c>
      <c r="G3" s="29"/>
    </row>
    <row r="4" spans="1:7" ht="19.5" customHeight="1">
      <c r="A4" s="30">
        <v>46174</v>
      </c>
      <c r="B4" s="31" t="s">
        <v>42</v>
      </c>
      <c r="C4" s="32">
        <v>150000</v>
      </c>
      <c r="D4" s="33">
        <v>500000</v>
      </c>
      <c r="E4" s="31" t="s">
        <v>43</v>
      </c>
      <c r="F4" s="34"/>
      <c r="G4" s="35"/>
    </row>
    <row r="5" spans="1:7" ht="19.5" customHeight="1">
      <c r="A5" s="30">
        <v>46176</v>
      </c>
      <c r="B5" s="31" t="s">
        <v>44</v>
      </c>
      <c r="C5" s="32">
        <v>-45000</v>
      </c>
      <c r="D5" s="33">
        <v>455000</v>
      </c>
      <c r="E5" s="31" t="s">
        <v>45</v>
      </c>
      <c r="F5" s="31" t="s">
        <v>46</v>
      </c>
      <c r="G5" s="35"/>
    </row>
    <row r="6" spans="1:7" ht="19.5" customHeight="1">
      <c r="A6" s="30">
        <v>46183</v>
      </c>
      <c r="B6" s="31" t="s">
        <v>47</v>
      </c>
      <c r="C6" s="32">
        <v>-80000</v>
      </c>
      <c r="D6" s="33">
        <v>375000</v>
      </c>
      <c r="E6" s="31" t="s">
        <v>48</v>
      </c>
      <c r="F6" s="31"/>
      <c r="G6" s="35"/>
    </row>
    <row r="7" spans="1:7" ht="19.5" customHeight="1">
      <c r="A7" s="30"/>
      <c r="B7" s="36"/>
      <c r="C7" s="37"/>
      <c r="D7" s="38"/>
      <c r="E7" s="36"/>
      <c r="F7" s="36"/>
      <c r="G7" s="35"/>
    </row>
    <row r="8" spans="1:7" ht="19.5" customHeight="1">
      <c r="A8" s="30"/>
      <c r="B8" s="36"/>
      <c r="C8" s="37"/>
      <c r="D8" s="38"/>
      <c r="E8" s="36"/>
      <c r="F8" s="36"/>
      <c r="G8" s="35"/>
    </row>
    <row r="9" spans="1:7" ht="19.5" customHeight="1">
      <c r="A9" s="30"/>
      <c r="B9" s="36"/>
      <c r="C9" s="37"/>
      <c r="D9" s="38"/>
      <c r="E9" s="36"/>
      <c r="F9" s="36"/>
      <c r="G9" s="35"/>
    </row>
    <row r="10" spans="1:7" ht="19.5" customHeight="1">
      <c r="A10" s="30"/>
      <c r="B10" s="36"/>
      <c r="C10" s="37"/>
      <c r="D10" s="38"/>
      <c r="E10" s="36"/>
      <c r="F10" s="36"/>
      <c r="G10" s="35"/>
    </row>
    <row r="11" spans="1:7" ht="19.5" customHeight="1">
      <c r="A11" s="30"/>
      <c r="B11" s="36"/>
      <c r="C11" s="37"/>
      <c r="D11" s="38"/>
      <c r="E11" s="36"/>
      <c r="F11" s="36"/>
      <c r="G11" s="35"/>
    </row>
    <row r="12" spans="1:7" ht="19.5" customHeight="1">
      <c r="A12" s="30"/>
      <c r="B12" s="36"/>
      <c r="C12" s="37"/>
      <c r="D12" s="38"/>
      <c r="E12" s="36"/>
      <c r="F12" s="36"/>
      <c r="G12" s="35"/>
    </row>
    <row r="13" spans="1:7" ht="19.5" customHeight="1">
      <c r="A13" s="30"/>
      <c r="B13" s="36"/>
      <c r="C13" s="37"/>
      <c r="D13" s="38"/>
      <c r="E13" s="36"/>
      <c r="F13" s="36"/>
      <c r="G13" s="35"/>
    </row>
    <row r="14" spans="1:7" ht="19.5" customHeight="1">
      <c r="A14" s="30"/>
      <c r="B14" s="36"/>
      <c r="C14" s="37"/>
      <c r="D14" s="38"/>
      <c r="E14" s="36"/>
      <c r="F14" s="36"/>
      <c r="G14" s="35"/>
    </row>
    <row r="15" spans="1:7" ht="19.5" customHeight="1">
      <c r="A15" s="30"/>
      <c r="B15" s="36"/>
      <c r="C15" s="37"/>
      <c r="D15" s="38"/>
      <c r="E15" s="36"/>
      <c r="F15" s="36"/>
      <c r="G15" s="35"/>
    </row>
    <row r="16" spans="1:7" ht="19.5" customHeight="1">
      <c r="A16" s="30"/>
      <c r="B16" s="36"/>
      <c r="C16" s="37"/>
      <c r="D16" s="38"/>
      <c r="E16" s="36"/>
      <c r="F16" s="36"/>
      <c r="G16" s="35"/>
    </row>
    <row r="17" spans="1:7" ht="19.5" customHeight="1">
      <c r="A17" s="30"/>
      <c r="B17" s="36"/>
      <c r="C17" s="37"/>
      <c r="D17" s="38"/>
      <c r="E17" s="36"/>
      <c r="F17" s="36"/>
      <c r="G17" s="35"/>
    </row>
    <row r="18" spans="1:7" ht="19.5" customHeight="1">
      <c r="A18" s="30"/>
      <c r="B18" s="36"/>
      <c r="C18" s="37"/>
      <c r="D18" s="38"/>
      <c r="E18" s="36"/>
      <c r="F18" s="36"/>
      <c r="G18" s="35"/>
    </row>
    <row r="19" spans="1:7" ht="19.5" customHeight="1">
      <c r="A19" s="30"/>
      <c r="B19" s="36"/>
      <c r="C19" s="37"/>
      <c r="D19" s="38"/>
      <c r="E19" s="36"/>
      <c r="F19" s="36"/>
      <c r="G19" s="35"/>
    </row>
    <row r="20" spans="1:7" ht="19.5" customHeight="1">
      <c r="A20" s="30"/>
      <c r="B20" s="36"/>
      <c r="C20" s="37"/>
      <c r="D20" s="38"/>
      <c r="E20" s="36"/>
      <c r="F20" s="36"/>
      <c r="G20" s="35"/>
    </row>
    <row r="21" spans="1:7" ht="19.5" customHeight="1">
      <c r="A21" s="30"/>
      <c r="B21" s="36"/>
      <c r="C21" s="37"/>
      <c r="D21" s="38"/>
      <c r="E21" s="36"/>
      <c r="F21" s="36"/>
      <c r="G21" s="35"/>
    </row>
    <row r="22" spans="1:7" ht="19.5" customHeight="1">
      <c r="A22" s="30"/>
      <c r="B22" s="36"/>
      <c r="C22" s="37"/>
      <c r="D22" s="38"/>
      <c r="E22" s="36"/>
      <c r="F22" s="36"/>
      <c r="G22" s="35"/>
    </row>
    <row r="23" spans="1:7" ht="19.5" customHeight="1">
      <c r="A23" s="30"/>
      <c r="B23" s="36"/>
      <c r="C23" s="37"/>
      <c r="D23" s="38"/>
      <c r="E23" s="36"/>
      <c r="F23" s="36"/>
      <c r="G23" s="35"/>
    </row>
    <row r="24" spans="1:7" ht="19.5" customHeight="1">
      <c r="A24" s="30"/>
      <c r="B24" s="36"/>
      <c r="C24" s="37"/>
      <c r="D24" s="38"/>
      <c r="E24" s="36"/>
      <c r="F24" s="36"/>
      <c r="G24" s="35"/>
    </row>
    <row r="25" spans="1:7" ht="19.5" customHeight="1">
      <c r="A25" s="30"/>
      <c r="B25" s="36"/>
      <c r="C25" s="37"/>
      <c r="D25" s="38"/>
      <c r="E25" s="36"/>
      <c r="F25" s="36"/>
      <c r="G25" s="35"/>
    </row>
    <row r="26" spans="1:7" ht="19.5" customHeight="1">
      <c r="A26" s="30"/>
      <c r="B26" s="36"/>
      <c r="C26" s="37"/>
      <c r="D26" s="38"/>
      <c r="E26" s="36"/>
      <c r="F26" s="36"/>
      <c r="G26" s="35"/>
    </row>
    <row r="27" spans="1:7" ht="19.5" customHeight="1">
      <c r="A27" s="30"/>
      <c r="B27" s="36"/>
      <c r="C27" s="37"/>
      <c r="D27" s="38"/>
      <c r="E27" s="36"/>
      <c r="F27" s="36"/>
      <c r="G27" s="35"/>
    </row>
    <row r="28" spans="1:7" ht="19.5" customHeight="1">
      <c r="A28" s="30"/>
      <c r="B28" s="36"/>
      <c r="C28" s="37"/>
      <c r="D28" s="38"/>
      <c r="E28" s="36"/>
      <c r="F28" s="36"/>
      <c r="G28" s="35"/>
    </row>
    <row r="29" spans="1:7" ht="19.5" customHeight="1">
      <c r="A29" s="30"/>
      <c r="B29" s="36"/>
      <c r="C29" s="37"/>
      <c r="D29" s="38"/>
      <c r="E29" s="36"/>
      <c r="F29" s="36"/>
      <c r="G29" s="35"/>
    </row>
    <row r="30" spans="1:7" ht="19.5" customHeight="1">
      <c r="A30" s="30"/>
      <c r="B30" s="36"/>
      <c r="C30" s="37"/>
      <c r="D30" s="38"/>
      <c r="E30" s="36"/>
      <c r="F30" s="36"/>
      <c r="G30" s="35"/>
    </row>
    <row r="31" spans="1:7" ht="19.5" customHeight="1">
      <c r="A31" s="30"/>
      <c r="B31" s="36"/>
      <c r="C31" s="37"/>
      <c r="D31" s="38"/>
      <c r="E31" s="36"/>
      <c r="F31" s="36"/>
      <c r="G31" s="35"/>
    </row>
    <row r="32" spans="1:7" ht="19.5" customHeight="1">
      <c r="A32" s="30"/>
      <c r="B32" s="36"/>
      <c r="C32" s="37"/>
      <c r="D32" s="38"/>
      <c r="E32" s="36"/>
      <c r="F32" s="36"/>
      <c r="G32" s="35"/>
    </row>
    <row r="33" spans="1:7" ht="19.5" customHeight="1">
      <c r="A33" s="30"/>
      <c r="B33" s="36"/>
      <c r="C33" s="37"/>
      <c r="D33" s="38"/>
      <c r="E33" s="36"/>
      <c r="F33" s="36"/>
      <c r="G33" s="35"/>
    </row>
    <row r="34" spans="1:7" ht="19.5" customHeight="1">
      <c r="A34" s="30"/>
      <c r="B34" s="36"/>
      <c r="C34" s="37"/>
      <c r="D34" s="38"/>
      <c r="E34" s="36"/>
      <c r="F34" s="36"/>
      <c r="G34" s="35"/>
    </row>
    <row r="35" spans="1:7" ht="19.5" customHeight="1">
      <c r="A35" s="30"/>
      <c r="B35" s="36"/>
      <c r="C35" s="37"/>
      <c r="D35" s="38"/>
      <c r="E35" s="36"/>
      <c r="F35" s="36"/>
      <c r="G35" s="35"/>
    </row>
    <row r="36" spans="1:7" ht="19.5" customHeight="1">
      <c r="A36" s="30"/>
      <c r="B36" s="36"/>
      <c r="C36" s="37"/>
      <c r="D36" s="38"/>
      <c r="E36" s="36"/>
      <c r="F36" s="36"/>
      <c r="G36" s="35"/>
    </row>
    <row r="37" spans="1:7" ht="19.5" customHeight="1">
      <c r="A37" s="30"/>
      <c r="B37" s="36"/>
      <c r="C37" s="37"/>
      <c r="D37" s="38"/>
      <c r="E37" s="36"/>
      <c r="F37" s="36"/>
      <c r="G37" s="35"/>
    </row>
    <row r="38" spans="1:7" ht="19.5" customHeight="1">
      <c r="A38" s="30"/>
      <c r="B38" s="36"/>
      <c r="C38" s="37"/>
      <c r="D38" s="38"/>
      <c r="E38" s="36"/>
      <c r="F38" s="36"/>
      <c r="G38" s="35"/>
    </row>
    <row r="39" spans="1:7" ht="19.5" customHeight="1">
      <c r="A39" s="30"/>
      <c r="B39" s="36"/>
      <c r="C39" s="37"/>
      <c r="D39" s="38"/>
      <c r="E39" s="36"/>
      <c r="F39" s="36"/>
      <c r="G39" s="35"/>
    </row>
    <row r="40" spans="1:7" ht="19.5" customHeight="1">
      <c r="A40" s="30"/>
      <c r="B40" s="36"/>
      <c r="C40" s="37"/>
      <c r="D40" s="38"/>
      <c r="E40" s="36"/>
      <c r="F40" s="36"/>
      <c r="G40" s="35"/>
    </row>
    <row r="41" spans="1:7" ht="19.5" customHeight="1">
      <c r="A41" s="30"/>
      <c r="B41" s="36"/>
      <c r="C41" s="37"/>
      <c r="D41" s="38"/>
      <c r="E41" s="36"/>
      <c r="F41" s="36"/>
      <c r="G41" s="35"/>
    </row>
    <row r="42" spans="1:7" ht="19.5" customHeight="1">
      <c r="A42" s="30"/>
      <c r="B42" s="36"/>
      <c r="C42" s="37"/>
      <c r="D42" s="38"/>
      <c r="E42" s="36"/>
      <c r="F42" s="36"/>
      <c r="G42" s="35"/>
    </row>
    <row r="43" spans="1:7" ht="19.5" customHeight="1">
      <c r="A43" s="30"/>
      <c r="B43" s="36"/>
      <c r="C43" s="37"/>
      <c r="D43" s="38"/>
      <c r="E43" s="36"/>
      <c r="F43" s="36"/>
      <c r="G43" s="35"/>
    </row>
    <row r="44" spans="1:7" ht="19.5" customHeight="1">
      <c r="A44" s="30"/>
      <c r="B44" s="36"/>
      <c r="C44" s="37"/>
      <c r="D44" s="38"/>
      <c r="E44" s="36"/>
      <c r="F44" s="36"/>
      <c r="G44" s="35"/>
    </row>
    <row r="45" spans="1:7" ht="19.5" customHeight="1">
      <c r="A45" s="30"/>
      <c r="B45" s="36"/>
      <c r="C45" s="37"/>
      <c r="D45" s="38"/>
      <c r="E45" s="36"/>
      <c r="F45" s="36"/>
      <c r="G45" s="35"/>
    </row>
    <row r="46" spans="1:7" ht="19.5" customHeight="1">
      <c r="A46" s="30"/>
      <c r="B46" s="36"/>
      <c r="C46" s="37"/>
      <c r="D46" s="38"/>
      <c r="E46" s="36"/>
      <c r="F46" s="36"/>
      <c r="G46" s="35"/>
    </row>
    <row r="47" spans="1:7" ht="19.5" customHeight="1">
      <c r="A47" s="30"/>
      <c r="B47" s="36"/>
      <c r="C47" s="37"/>
      <c r="D47" s="38"/>
      <c r="E47" s="36"/>
      <c r="F47" s="36"/>
      <c r="G47" s="35"/>
    </row>
    <row r="48" spans="1:7" ht="19.5" customHeight="1">
      <c r="A48" s="30"/>
      <c r="B48" s="36"/>
      <c r="C48" s="37"/>
      <c r="D48" s="38"/>
      <c r="E48" s="36"/>
      <c r="F48" s="36"/>
      <c r="G48" s="35"/>
    </row>
    <row r="49" spans="1:7" ht="19.5" customHeight="1">
      <c r="A49" s="30"/>
      <c r="B49" s="36"/>
      <c r="C49" s="37"/>
      <c r="D49" s="38"/>
      <c r="E49" s="36"/>
      <c r="F49" s="36"/>
      <c r="G49" s="35"/>
    </row>
    <row r="50" spans="1:7" ht="19.5" customHeight="1">
      <c r="A50" s="30"/>
      <c r="B50" s="36"/>
      <c r="C50" s="37"/>
      <c r="D50" s="38"/>
      <c r="E50" s="36"/>
      <c r="F50" s="36"/>
      <c r="G50" s="35"/>
    </row>
    <row r="51" spans="1:7" ht="19.5" customHeight="1">
      <c r="A51" s="30"/>
      <c r="B51" s="36"/>
      <c r="C51" s="37"/>
      <c r="D51" s="38"/>
      <c r="E51" s="36"/>
      <c r="F51" s="36"/>
      <c r="G51" s="35"/>
    </row>
    <row r="52" spans="1:7" ht="19.5" customHeight="1">
      <c r="A52" s="30"/>
      <c r="B52" s="36"/>
      <c r="C52" s="37"/>
      <c r="D52" s="38"/>
      <c r="E52" s="36"/>
      <c r="F52" s="36"/>
      <c r="G52" s="35"/>
    </row>
    <row r="53" spans="1:7" ht="19.5" customHeight="1">
      <c r="A53" s="30"/>
      <c r="B53" s="36"/>
      <c r="C53" s="37"/>
      <c r="D53" s="38"/>
      <c r="E53" s="36"/>
      <c r="F53" s="36"/>
      <c r="G53" s="35"/>
    </row>
    <row r="54" spans="1:7" ht="19.5" customHeight="1">
      <c r="A54" s="30"/>
      <c r="B54" s="36"/>
      <c r="C54" s="37"/>
      <c r="D54" s="38"/>
      <c r="E54" s="36"/>
      <c r="F54" s="36"/>
    </row>
    <row r="55" spans="1:7" ht="19.5" customHeight="1">
      <c r="A55" s="30"/>
      <c r="B55" s="36"/>
      <c r="C55" s="37"/>
      <c r="D55" s="38"/>
      <c r="E55" s="36"/>
      <c r="F55" s="36"/>
    </row>
    <row r="56" spans="1:7" ht="19.5" customHeight="1">
      <c r="A56" s="30"/>
      <c r="B56" s="36"/>
      <c r="C56" s="37"/>
      <c r="D56" s="38"/>
      <c r="E56" s="36"/>
      <c r="F56" s="36"/>
    </row>
    <row r="57" spans="1:7" ht="19.5" customHeight="1">
      <c r="A57" s="30"/>
      <c r="B57" s="36"/>
      <c r="C57" s="37"/>
      <c r="D57" s="38"/>
      <c r="E57" s="36"/>
      <c r="F57" s="36"/>
    </row>
    <row r="58" spans="1:7" ht="19.5" customHeight="1">
      <c r="A58" s="30"/>
      <c r="B58" s="36"/>
      <c r="C58" s="37"/>
      <c r="D58" s="38"/>
      <c r="E58" s="36"/>
      <c r="F58" s="36"/>
    </row>
    <row r="59" spans="1:7" ht="19.5" customHeight="1">
      <c r="A59" s="30"/>
      <c r="B59" s="36"/>
      <c r="C59" s="37"/>
      <c r="D59" s="38"/>
      <c r="E59" s="36"/>
      <c r="F59" s="36"/>
    </row>
    <row r="60" spans="1:7" ht="19.5" customHeight="1">
      <c r="A60" s="30"/>
      <c r="B60" s="36"/>
      <c r="C60" s="37"/>
      <c r="D60" s="38"/>
      <c r="E60" s="36"/>
      <c r="F60" s="36"/>
    </row>
    <row r="61" spans="1:7" ht="19.5" customHeight="1">
      <c r="A61" s="30"/>
      <c r="B61" s="36"/>
      <c r="C61" s="37"/>
      <c r="D61" s="38"/>
      <c r="E61" s="36"/>
      <c r="F61" s="36"/>
    </row>
    <row r="62" spans="1:7" ht="19.5" customHeight="1">
      <c r="A62" s="30"/>
      <c r="B62" s="36"/>
      <c r="C62" s="37"/>
      <c r="D62" s="38"/>
      <c r="E62" s="36"/>
      <c r="F62" s="36"/>
    </row>
    <row r="63" spans="1:7" ht="19.5" customHeight="1">
      <c r="A63" s="30"/>
      <c r="B63" s="36"/>
      <c r="C63" s="37"/>
      <c r="D63" s="38"/>
      <c r="E63" s="36"/>
      <c r="F63" s="36"/>
    </row>
    <row r="64" spans="1:7" ht="19.5" customHeight="1">
      <c r="A64" s="30"/>
      <c r="B64" s="36"/>
      <c r="C64" s="37"/>
      <c r="D64" s="38"/>
      <c r="E64" s="36"/>
      <c r="F64" s="36"/>
    </row>
    <row r="65" spans="1:6" ht="19.5" customHeight="1">
      <c r="A65" s="30"/>
      <c r="B65" s="36"/>
      <c r="C65" s="37"/>
      <c r="D65" s="38"/>
      <c r="E65" s="36"/>
      <c r="F65" s="36"/>
    </row>
    <row r="66" spans="1:6" ht="19.5" customHeight="1">
      <c r="A66" s="30"/>
      <c r="B66" s="36"/>
      <c r="C66" s="37"/>
      <c r="D66" s="38"/>
      <c r="E66" s="36"/>
      <c r="F66" s="36"/>
    </row>
    <row r="67" spans="1:6" ht="19.5" customHeight="1">
      <c r="A67" s="30"/>
      <c r="B67" s="36"/>
      <c r="C67" s="37"/>
      <c r="D67" s="38"/>
      <c r="E67" s="36"/>
      <c r="F67" s="36"/>
    </row>
    <row r="68" spans="1:6" ht="19.5" customHeight="1">
      <c r="A68" s="30"/>
      <c r="B68" s="36"/>
      <c r="C68" s="37"/>
      <c r="D68" s="38"/>
      <c r="E68" s="36"/>
      <c r="F68" s="36"/>
    </row>
    <row r="69" spans="1:6" ht="19.5" customHeight="1">
      <c r="A69" s="30"/>
      <c r="B69" s="36"/>
      <c r="C69" s="37"/>
      <c r="D69" s="38"/>
      <c r="E69" s="36"/>
      <c r="F69" s="36"/>
    </row>
    <row r="70" spans="1:6" ht="19.5" customHeight="1">
      <c r="A70" s="30"/>
      <c r="B70" s="36"/>
      <c r="C70" s="37"/>
      <c r="D70" s="38"/>
      <c r="E70" s="36"/>
      <c r="F70" s="36"/>
    </row>
    <row r="71" spans="1:6" ht="19.5" customHeight="1">
      <c r="A71" s="30"/>
      <c r="B71" s="36"/>
      <c r="C71" s="37"/>
      <c r="D71" s="38"/>
      <c r="E71" s="36"/>
      <c r="F71" s="36"/>
    </row>
    <row r="72" spans="1:6" ht="19.5" customHeight="1">
      <c r="A72" s="30"/>
      <c r="B72" s="36"/>
      <c r="C72" s="37"/>
      <c r="D72" s="38"/>
      <c r="E72" s="36"/>
      <c r="F72" s="36"/>
    </row>
    <row r="73" spans="1:6" ht="19.5" customHeight="1">
      <c r="A73" s="30"/>
      <c r="B73" s="36"/>
      <c r="C73" s="37"/>
      <c r="D73" s="38"/>
      <c r="E73" s="36"/>
      <c r="F73" s="36"/>
    </row>
    <row r="74" spans="1:6" ht="19.5" customHeight="1">
      <c r="A74" s="30"/>
      <c r="B74" s="36"/>
      <c r="C74" s="37"/>
      <c r="D74" s="38"/>
      <c r="E74" s="36"/>
      <c r="F74" s="36"/>
    </row>
    <row r="75" spans="1:6" ht="19.5" customHeight="1">
      <c r="A75" s="30"/>
      <c r="B75" s="36"/>
      <c r="C75" s="37"/>
      <c r="D75" s="38"/>
      <c r="E75" s="36"/>
      <c r="F75" s="36"/>
    </row>
    <row r="76" spans="1:6" ht="19.5" customHeight="1">
      <c r="A76" s="30"/>
      <c r="B76" s="36"/>
      <c r="C76" s="37"/>
      <c r="D76" s="38"/>
      <c r="E76" s="36"/>
      <c r="F76" s="36"/>
    </row>
    <row r="77" spans="1:6" ht="19.5" customHeight="1">
      <c r="A77" s="30"/>
      <c r="B77" s="36"/>
      <c r="C77" s="37"/>
      <c r="D77" s="38"/>
      <c r="E77" s="36"/>
      <c r="F77" s="36"/>
    </row>
    <row r="78" spans="1:6" ht="19.5" customHeight="1">
      <c r="A78" s="30"/>
      <c r="B78" s="36"/>
      <c r="C78" s="37"/>
      <c r="D78" s="38"/>
      <c r="E78" s="36"/>
      <c r="F78" s="36"/>
    </row>
    <row r="79" spans="1:6" ht="19.5" customHeight="1">
      <c r="A79" s="30"/>
      <c r="B79" s="36"/>
      <c r="C79" s="37"/>
      <c r="D79" s="38"/>
      <c r="E79" s="36"/>
      <c r="F79" s="36"/>
    </row>
    <row r="80" spans="1:6" ht="19.5" customHeight="1">
      <c r="A80" s="30"/>
      <c r="B80" s="36"/>
      <c r="C80" s="37"/>
      <c r="D80" s="38"/>
      <c r="E80" s="36"/>
      <c r="F80" s="36"/>
    </row>
    <row r="81" spans="1:6" ht="19.5" customHeight="1">
      <c r="A81" s="30"/>
      <c r="B81" s="36"/>
      <c r="C81" s="37"/>
      <c r="D81" s="38"/>
      <c r="E81" s="36"/>
      <c r="F81" s="36"/>
    </row>
    <row r="82" spans="1:6" ht="19.5" customHeight="1">
      <c r="A82" s="30"/>
      <c r="B82" s="36"/>
      <c r="C82" s="37"/>
      <c r="D82" s="38"/>
      <c r="E82" s="36"/>
      <c r="F82" s="36"/>
    </row>
    <row r="83" spans="1:6" ht="19.5" customHeight="1">
      <c r="A83" s="30"/>
      <c r="B83" s="36"/>
      <c r="C83" s="37"/>
      <c r="D83" s="38"/>
      <c r="E83" s="36"/>
      <c r="F83" s="36"/>
    </row>
    <row r="84" spans="1:6" ht="19.5" customHeight="1">
      <c r="A84" s="30"/>
      <c r="B84" s="36"/>
      <c r="C84" s="37"/>
      <c r="D84" s="38"/>
      <c r="E84" s="36"/>
      <c r="F84" s="36"/>
    </row>
    <row r="85" spans="1:6" ht="19.5" customHeight="1">
      <c r="A85" s="30"/>
      <c r="B85" s="36"/>
      <c r="C85" s="37"/>
      <c r="D85" s="38"/>
      <c r="E85" s="36"/>
      <c r="F85" s="36"/>
    </row>
    <row r="86" spans="1:6" ht="19.5" customHeight="1">
      <c r="A86" s="30"/>
      <c r="B86" s="36"/>
      <c r="C86" s="37"/>
      <c r="D86" s="38"/>
      <c r="E86" s="36"/>
      <c r="F86" s="36"/>
    </row>
    <row r="87" spans="1:6" ht="19.5" customHeight="1">
      <c r="A87" s="30"/>
      <c r="B87" s="36"/>
      <c r="C87" s="37"/>
      <c r="D87" s="38"/>
      <c r="E87" s="36"/>
      <c r="F87" s="36"/>
    </row>
    <row r="88" spans="1:6" ht="19.5" customHeight="1">
      <c r="A88" s="30"/>
      <c r="B88" s="36"/>
      <c r="C88" s="37"/>
      <c r="D88" s="38"/>
      <c r="E88" s="36"/>
      <c r="F88" s="36"/>
    </row>
    <row r="89" spans="1:6" ht="19.5" customHeight="1">
      <c r="A89" s="30"/>
      <c r="B89" s="36"/>
      <c r="C89" s="37"/>
      <c r="D89" s="38"/>
      <c r="E89" s="36"/>
      <c r="F89" s="36"/>
    </row>
    <row r="90" spans="1:6" ht="19.5" customHeight="1">
      <c r="A90" s="30"/>
      <c r="B90" s="36"/>
      <c r="C90" s="37"/>
      <c r="D90" s="38"/>
      <c r="E90" s="36"/>
      <c r="F90" s="36"/>
    </row>
    <row r="91" spans="1:6" ht="19.5" customHeight="1">
      <c r="A91" s="30"/>
      <c r="B91" s="36"/>
      <c r="C91" s="37"/>
      <c r="D91" s="38"/>
      <c r="E91" s="36"/>
      <c r="F91" s="36"/>
    </row>
    <row r="92" spans="1:6" ht="19.5" customHeight="1">
      <c r="A92" s="30"/>
      <c r="B92" s="36"/>
      <c r="C92" s="37"/>
      <c r="D92" s="38"/>
      <c r="E92" s="36"/>
      <c r="F92" s="36"/>
    </row>
    <row r="93" spans="1:6" ht="19.5" customHeight="1">
      <c r="A93" s="30"/>
      <c r="B93" s="36"/>
      <c r="C93" s="37"/>
      <c r="D93" s="38"/>
      <c r="E93" s="36"/>
      <c r="F93" s="36"/>
    </row>
    <row r="94" spans="1:6" ht="19.5" customHeight="1">
      <c r="A94" s="30"/>
      <c r="B94" s="36"/>
      <c r="C94" s="37"/>
      <c r="D94" s="38"/>
      <c r="E94" s="36"/>
      <c r="F94" s="36"/>
    </row>
    <row r="95" spans="1:6" ht="19.5" customHeight="1">
      <c r="A95" s="30"/>
      <c r="B95" s="36"/>
      <c r="C95" s="37"/>
      <c r="D95" s="38"/>
      <c r="E95" s="36"/>
      <c r="F95" s="36"/>
    </row>
    <row r="96" spans="1:6" ht="19.5" customHeight="1">
      <c r="A96" s="30"/>
      <c r="B96" s="36"/>
      <c r="C96" s="37"/>
      <c r="D96" s="38"/>
      <c r="E96" s="36"/>
      <c r="F96" s="36"/>
    </row>
    <row r="97" spans="1:6" ht="19.5" customHeight="1">
      <c r="A97" s="30"/>
      <c r="B97" s="36"/>
      <c r="C97" s="37"/>
      <c r="D97" s="38"/>
      <c r="E97" s="36"/>
      <c r="F97" s="36"/>
    </row>
    <row r="98" spans="1:6" ht="19.5" customHeight="1">
      <c r="A98" s="30"/>
      <c r="B98" s="36"/>
      <c r="C98" s="37"/>
      <c r="D98" s="38"/>
      <c r="E98" s="36"/>
      <c r="F98" s="36"/>
    </row>
    <row r="99" spans="1:6" ht="19.5" customHeight="1">
      <c r="A99" s="30"/>
      <c r="B99" s="36"/>
      <c r="C99" s="37"/>
      <c r="D99" s="38"/>
      <c r="E99" s="36"/>
      <c r="F99" s="36"/>
    </row>
    <row r="100" spans="1:6" ht="19.5" customHeight="1">
      <c r="A100" s="30"/>
      <c r="B100" s="36"/>
      <c r="C100" s="37"/>
      <c r="D100" s="38"/>
      <c r="E100" s="36"/>
      <c r="F100" s="36"/>
    </row>
    <row r="101" spans="1:6" ht="19.5" customHeight="1">
      <c r="A101" s="30"/>
      <c r="B101" s="36"/>
      <c r="C101" s="37"/>
      <c r="D101" s="38"/>
      <c r="E101" s="36"/>
      <c r="F101" s="36"/>
    </row>
    <row r="102" spans="1:6" ht="19.5" customHeight="1">
      <c r="A102" s="30"/>
      <c r="B102" s="36"/>
      <c r="C102" s="37"/>
      <c r="D102" s="38"/>
      <c r="E102" s="36"/>
      <c r="F102" s="36"/>
    </row>
    <row r="103" spans="1:6" ht="19.5" customHeight="1">
      <c r="A103" s="30"/>
      <c r="B103" s="36"/>
      <c r="C103" s="37"/>
      <c r="D103" s="38"/>
      <c r="E103" s="36"/>
      <c r="F103" s="36"/>
    </row>
  </sheetData>
  <mergeCells count="2">
    <mergeCell ref="A1:F1"/>
    <mergeCell ref="A2:F2"/>
  </mergeCells>
  <phoneticPr fontId="43"/>
  <dataValidations count="2">
    <dataValidation type="list" allowBlank="1" sqref="F4:F53" xr:uid="{00000000-0002-0000-0100-000000000000}">
      <formula1>"売上,仕入,交通費,通信費,消耗品費,外注費,地代家賃,広告宣伝費,水道光熱費,雑費"</formula1>
      <formula2>0</formula2>
    </dataValidation>
    <dataValidation type="list" allowBlank="1" sqref="E4:E103" xr:uid="{00000000-0002-0000-0100-000001000000}">
      <formula1>"売上,その他収入,仕入,交通費,通信費,消耗品費,外注費,地代家賃,広告宣伝費,水道光熱費,雑費"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559A"/>
  </sheetPr>
  <dimension ref="B1:O22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328125" defaultRowHeight="14.5"/>
  <cols>
    <col min="1" max="1" width="3" customWidth="1"/>
    <col min="2" max="2" width="18" customWidth="1"/>
    <col min="3" max="15" width="11" customWidth="1"/>
    <col min="16" max="16" width="3" customWidth="1"/>
  </cols>
  <sheetData>
    <row r="1" spans="2:15" ht="24" customHeight="1">
      <c r="B1" s="7" t="s">
        <v>49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ht="15.75" customHeight="1">
      <c r="B2" s="6" t="s">
        <v>50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2:15" ht="9.75" customHeight="1"/>
    <row r="4" spans="2:15" ht="25.5" customHeight="1">
      <c r="B4" s="40" t="s">
        <v>51</v>
      </c>
      <c r="C4" s="41" t="s">
        <v>52</v>
      </c>
      <c r="D4" s="41" t="s">
        <v>53</v>
      </c>
      <c r="E4" s="41" t="s">
        <v>54</v>
      </c>
      <c r="F4" s="41" t="s">
        <v>55</v>
      </c>
      <c r="G4" s="41" t="s">
        <v>56</v>
      </c>
      <c r="H4" s="41" t="s">
        <v>57</v>
      </c>
      <c r="I4" s="41" t="s">
        <v>58</v>
      </c>
      <c r="J4" s="41" t="s">
        <v>59</v>
      </c>
      <c r="K4" s="41" t="s">
        <v>60</v>
      </c>
      <c r="L4" s="41" t="s">
        <v>61</v>
      </c>
      <c r="M4" s="41" t="s">
        <v>62</v>
      </c>
      <c r="N4" s="41" t="s">
        <v>63</v>
      </c>
      <c r="O4" s="40" t="s">
        <v>64</v>
      </c>
    </row>
    <row r="5" spans="2:15" ht="19.5" customHeight="1">
      <c r="B5" s="5" t="s">
        <v>65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5" ht="19.5" customHeight="1">
      <c r="B6" s="42" t="s">
        <v>66</v>
      </c>
      <c r="C6" s="43">
        <f ca="1">SUMPRODUCT((ISNUMBER(①CSVペースト!$A$4:$A$103))*(MONTH(IF(ISNUMBER(①CSVペースト!$A$4:$A$103),①CSVペースト!$A$4:$A$103,TODAY()))=1)*(①CSVペースト!$E$4:$E$103="売上")*(①CSVペースト!$C$4:$C$103))</f>
        <v>0</v>
      </c>
      <c r="D6" s="43">
        <f ca="1">SUMPRODUCT((ISNUMBER(①CSVペースト!$A$4:$A$103))*(MONTH(IF(ISNUMBER(①CSVペースト!$A$4:$A$103),①CSVペースト!$A$4:$A$103,TODAY()))=2)*(①CSVペースト!$E$4:$E$103="売上")*(①CSVペースト!$C$4:$C$103))</f>
        <v>0</v>
      </c>
      <c r="E6" s="43">
        <f ca="1">SUMPRODUCT((ISNUMBER(①CSVペースト!$A$4:$A$103))*(MONTH(IF(ISNUMBER(①CSVペースト!$A$4:$A$103),①CSVペースト!$A$4:$A$103,TODAY()))=3)*(①CSVペースト!$E$4:$E$103="売上")*(①CSVペースト!$C$4:$C$103))</f>
        <v>0</v>
      </c>
      <c r="F6" s="43">
        <f ca="1">SUMPRODUCT((ISNUMBER(①CSVペースト!$A$4:$A$103))*(MONTH(IF(ISNUMBER(①CSVペースト!$A$4:$A$103),①CSVペースト!$A$4:$A$103,TODAY()))=4)*(①CSVペースト!$E$4:$E$103="売上")*(①CSVペースト!$C$4:$C$103))</f>
        <v>0</v>
      </c>
      <c r="G6" s="43">
        <f ca="1">SUMPRODUCT((ISNUMBER(①CSVペースト!$A$4:$A$103))*(MONTH(IF(ISNUMBER(①CSVペースト!$A$4:$A$103),①CSVペースト!$A$4:$A$103,TODAY()))=5)*(①CSVペースト!$E$4:$E$103="売上")*(①CSVペースト!$C$4:$C$103))</f>
        <v>0</v>
      </c>
      <c r="H6" s="43">
        <f ca="1">SUMPRODUCT((ISNUMBER(①CSVペースト!$A$4:$A$103))*(MONTH(IF(ISNUMBER(①CSVペースト!$A$4:$A$103),①CSVペースト!$A$4:$A$103,TODAY()))=6)*(①CSVペースト!$E$4:$E$103="売上")*(①CSVペースト!$C$4:$C$103))</f>
        <v>150000</v>
      </c>
      <c r="I6" s="43">
        <f ca="1">SUMPRODUCT((ISNUMBER(①CSVペースト!$A$4:$A$103))*(MONTH(IF(ISNUMBER(①CSVペースト!$A$4:$A$103),①CSVペースト!$A$4:$A$103,TODAY()))=7)*(①CSVペースト!$E$4:$E$103="売上")*(①CSVペースト!$C$4:$C$103))</f>
        <v>0</v>
      </c>
      <c r="J6" s="43">
        <f ca="1">SUMPRODUCT((ISNUMBER(①CSVペースト!$A$4:$A$103))*(MONTH(IF(ISNUMBER(①CSVペースト!$A$4:$A$103),①CSVペースト!$A$4:$A$103,TODAY()))=8)*(①CSVペースト!$E$4:$E$103="売上")*(①CSVペースト!$C$4:$C$103))</f>
        <v>0</v>
      </c>
      <c r="K6" s="43">
        <f ca="1">SUMPRODUCT((ISNUMBER(①CSVペースト!$A$4:$A$103))*(MONTH(IF(ISNUMBER(①CSVペースト!$A$4:$A$103),①CSVペースト!$A$4:$A$103,TODAY()))=9)*(①CSVペースト!$E$4:$E$103="売上")*(①CSVペースト!$C$4:$C$103))</f>
        <v>0</v>
      </c>
      <c r="L6" s="43">
        <f ca="1">SUMPRODUCT((ISNUMBER(①CSVペースト!$A$4:$A$103))*(MONTH(IF(ISNUMBER(①CSVペースト!$A$4:$A$103),①CSVペースト!$A$4:$A$103,TODAY()))=10)*(①CSVペースト!$E$4:$E$103="売上")*(①CSVペースト!$C$4:$C$103))</f>
        <v>0</v>
      </c>
      <c r="M6" s="43">
        <f ca="1">SUMPRODUCT((ISNUMBER(①CSVペースト!$A$4:$A$103))*(MONTH(IF(ISNUMBER(①CSVペースト!$A$4:$A$103),①CSVペースト!$A$4:$A$103,TODAY()))=11)*(①CSVペースト!$E$4:$E$103="売上")*(①CSVペースト!$C$4:$C$103))</f>
        <v>0</v>
      </c>
      <c r="N6" s="43">
        <f ca="1">SUMPRODUCT((ISNUMBER(①CSVペースト!$A$4:$A$103))*(MONTH(IF(ISNUMBER(①CSVペースト!$A$4:$A$103),①CSVペースト!$A$4:$A$103,TODAY()))=12)*(①CSVペースト!$E$4:$E$103="売上")*(①CSVペースト!$C$4:$C$103))</f>
        <v>0</v>
      </c>
      <c r="O6" s="44">
        <f ca="1">SUM(C6:N6)</f>
        <v>150000</v>
      </c>
    </row>
    <row r="7" spans="2:15" ht="19.5" customHeight="1">
      <c r="B7" s="42" t="s">
        <v>67</v>
      </c>
      <c r="C7" s="43">
        <f ca="1">SUMPRODUCT((ISNUMBER(①CSVペースト!$A$4:$A$103))*(MONTH(IF(ISNUMBER(①CSVペースト!$A$4:$A$103),①CSVペースト!$A$4:$A$103,TODAY()))=1)*(①CSVペースト!$E$4:$E$103="その他収入")*(①CSVペースト!$C$4:$C$103))</f>
        <v>0</v>
      </c>
      <c r="D7" s="43">
        <f ca="1">SUMPRODUCT((ISNUMBER(①CSVペースト!$A$4:$A$103))*(MONTH(IF(ISNUMBER(①CSVペースト!$A$4:$A$103),①CSVペースト!$A$4:$A$103,TODAY()))=2)*(①CSVペースト!$E$4:$E$103="その他収入")*(①CSVペースト!$C$4:$C$103))</f>
        <v>0</v>
      </c>
      <c r="E7" s="43">
        <f ca="1">SUMPRODUCT((ISNUMBER(①CSVペースト!$A$4:$A$103))*(MONTH(IF(ISNUMBER(①CSVペースト!$A$4:$A$103),①CSVペースト!$A$4:$A$103,TODAY()))=3)*(①CSVペースト!$E$4:$E$103="その他収入")*(①CSVペースト!$C$4:$C$103))</f>
        <v>0</v>
      </c>
      <c r="F7" s="43">
        <f ca="1">SUMPRODUCT((ISNUMBER(①CSVペースト!$A$4:$A$103))*(MONTH(IF(ISNUMBER(①CSVペースト!$A$4:$A$103),①CSVペースト!$A$4:$A$103,TODAY()))=4)*(①CSVペースト!$E$4:$E$103="その他収入")*(①CSVペースト!$C$4:$C$103))</f>
        <v>0</v>
      </c>
      <c r="G7" s="43">
        <f ca="1">SUMPRODUCT((ISNUMBER(①CSVペースト!$A$4:$A$103))*(MONTH(IF(ISNUMBER(①CSVペースト!$A$4:$A$103),①CSVペースト!$A$4:$A$103,TODAY()))=5)*(①CSVペースト!$E$4:$E$103="その他収入")*(①CSVペースト!$C$4:$C$103))</f>
        <v>0</v>
      </c>
      <c r="H7" s="43">
        <f ca="1">SUMPRODUCT((ISNUMBER(①CSVペースト!$A$4:$A$103))*(MONTH(IF(ISNUMBER(①CSVペースト!$A$4:$A$103),①CSVペースト!$A$4:$A$103,TODAY()))=6)*(①CSVペースト!$E$4:$E$103="その他収入")*(①CSVペースト!$C$4:$C$103))</f>
        <v>0</v>
      </c>
      <c r="I7" s="43">
        <f ca="1">SUMPRODUCT((ISNUMBER(①CSVペースト!$A$4:$A$103))*(MONTH(IF(ISNUMBER(①CSVペースト!$A$4:$A$103),①CSVペースト!$A$4:$A$103,TODAY()))=7)*(①CSVペースト!$E$4:$E$103="その他収入")*(①CSVペースト!$C$4:$C$103))</f>
        <v>0</v>
      </c>
      <c r="J7" s="43">
        <f ca="1">SUMPRODUCT((ISNUMBER(①CSVペースト!$A$4:$A$103))*(MONTH(IF(ISNUMBER(①CSVペースト!$A$4:$A$103),①CSVペースト!$A$4:$A$103,TODAY()))=8)*(①CSVペースト!$E$4:$E$103="その他収入")*(①CSVペースト!$C$4:$C$103))</f>
        <v>0</v>
      </c>
      <c r="K7" s="43">
        <f ca="1">SUMPRODUCT((ISNUMBER(①CSVペースト!$A$4:$A$103))*(MONTH(IF(ISNUMBER(①CSVペースト!$A$4:$A$103),①CSVペースト!$A$4:$A$103,TODAY()))=9)*(①CSVペースト!$E$4:$E$103="その他収入")*(①CSVペースト!$C$4:$C$103))</f>
        <v>0</v>
      </c>
      <c r="L7" s="43">
        <f ca="1">SUMPRODUCT((ISNUMBER(①CSVペースト!$A$4:$A$103))*(MONTH(IF(ISNUMBER(①CSVペースト!$A$4:$A$103),①CSVペースト!$A$4:$A$103,TODAY()))=10)*(①CSVペースト!$E$4:$E$103="その他収入")*(①CSVペースト!$C$4:$C$103))</f>
        <v>0</v>
      </c>
      <c r="M7" s="43">
        <f ca="1">SUMPRODUCT((ISNUMBER(①CSVペースト!$A$4:$A$103))*(MONTH(IF(ISNUMBER(①CSVペースト!$A$4:$A$103),①CSVペースト!$A$4:$A$103,TODAY()))=11)*(①CSVペースト!$E$4:$E$103="その他収入")*(①CSVペースト!$C$4:$C$103))</f>
        <v>0</v>
      </c>
      <c r="N7" s="43">
        <f ca="1">SUMPRODUCT((ISNUMBER(①CSVペースト!$A$4:$A$103))*(MONTH(IF(ISNUMBER(①CSVペースト!$A$4:$A$103),①CSVペースト!$A$4:$A$103,TODAY()))=12)*(①CSVペースト!$E$4:$E$103="その他収入")*(①CSVペースト!$C$4:$C$103))</f>
        <v>0</v>
      </c>
      <c r="O7" s="44">
        <f ca="1">SUM(C7:N7)</f>
        <v>0</v>
      </c>
    </row>
    <row r="8" spans="2:15" ht="21.75" customHeight="1">
      <c r="B8" s="45" t="s">
        <v>68</v>
      </c>
      <c r="C8" s="46">
        <f t="shared" ref="C8:O8" ca="1" si="0">SUM(C6:C7)</f>
        <v>0</v>
      </c>
      <c r="D8" s="46">
        <f t="shared" ca="1" si="0"/>
        <v>0</v>
      </c>
      <c r="E8" s="46">
        <f t="shared" ca="1" si="0"/>
        <v>0</v>
      </c>
      <c r="F8" s="46">
        <f t="shared" ca="1" si="0"/>
        <v>0</v>
      </c>
      <c r="G8" s="46">
        <f t="shared" ca="1" si="0"/>
        <v>0</v>
      </c>
      <c r="H8" s="46">
        <f t="shared" ca="1" si="0"/>
        <v>150000</v>
      </c>
      <c r="I8" s="46">
        <f t="shared" ca="1" si="0"/>
        <v>0</v>
      </c>
      <c r="J8" s="46">
        <f t="shared" ca="1" si="0"/>
        <v>0</v>
      </c>
      <c r="K8" s="46">
        <f t="shared" ca="1" si="0"/>
        <v>0</v>
      </c>
      <c r="L8" s="46">
        <f t="shared" ca="1" si="0"/>
        <v>0</v>
      </c>
      <c r="M8" s="46">
        <f t="shared" ca="1" si="0"/>
        <v>0</v>
      </c>
      <c r="N8" s="46">
        <f t="shared" ca="1" si="0"/>
        <v>0</v>
      </c>
      <c r="O8" s="46">
        <f t="shared" ca="1" si="0"/>
        <v>150000</v>
      </c>
    </row>
    <row r="9" spans="2:15" ht="6" customHeight="1"/>
    <row r="10" spans="2:15" ht="19.5" customHeight="1">
      <c r="B10" s="4" t="s">
        <v>69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2:15" ht="19.5" customHeight="1">
      <c r="B11" s="47" t="s">
        <v>70</v>
      </c>
      <c r="C11" s="48">
        <f ca="1">SUMPRODUCT((ISNUMBER(①CSVペースト!$A$4:$A$103))*(MONTH(IF(ISNUMBER(①CSVペースト!$A$4:$A$103),①CSVペースト!$A$4:$A$103,TODAY()))=1)*(①CSVペースト!$E$4:$E$103="仕入")*ABS(①CSVペースト!$C$4:$C$103))</f>
        <v>0</v>
      </c>
      <c r="D11" s="48">
        <f ca="1">SUMPRODUCT((ISNUMBER(①CSVペースト!$A$4:$A$103))*(MONTH(IF(ISNUMBER(①CSVペースト!$A$4:$A$103),①CSVペースト!$A$4:$A$103,TODAY()))=2)*(①CSVペースト!$E$4:$E$103="仕入")*ABS(①CSVペースト!$C$4:$C$103))</f>
        <v>0</v>
      </c>
      <c r="E11" s="48">
        <f ca="1">SUMPRODUCT((ISNUMBER(①CSVペースト!$A$4:$A$103))*(MONTH(IF(ISNUMBER(①CSVペースト!$A$4:$A$103),①CSVペースト!$A$4:$A$103,TODAY()))=3)*(①CSVペースト!$E$4:$E$103="仕入")*ABS(①CSVペースト!$C$4:$C$103))</f>
        <v>0</v>
      </c>
      <c r="F11" s="48">
        <f ca="1">SUMPRODUCT((ISNUMBER(①CSVペースト!$A$4:$A$103))*(MONTH(IF(ISNUMBER(①CSVペースト!$A$4:$A$103),①CSVペースト!$A$4:$A$103,TODAY()))=4)*(①CSVペースト!$E$4:$E$103="仕入")*ABS(①CSVペースト!$C$4:$C$103))</f>
        <v>0</v>
      </c>
      <c r="G11" s="48">
        <f ca="1">SUMPRODUCT((ISNUMBER(①CSVペースト!$A$4:$A$103))*(MONTH(IF(ISNUMBER(①CSVペースト!$A$4:$A$103),①CSVペースト!$A$4:$A$103,TODAY()))=5)*(①CSVペースト!$E$4:$E$103="仕入")*ABS(①CSVペースト!$C$4:$C$103))</f>
        <v>0</v>
      </c>
      <c r="H11" s="48">
        <f ca="1">SUMPRODUCT((ISNUMBER(①CSVペースト!$A$4:$A$103))*(MONTH(IF(ISNUMBER(①CSVペースト!$A$4:$A$103),①CSVペースト!$A$4:$A$103,TODAY()))=6)*(①CSVペースト!$E$4:$E$103="仕入")*ABS(①CSVペースト!$C$4:$C$103))</f>
        <v>0</v>
      </c>
      <c r="I11" s="48">
        <f ca="1">SUMPRODUCT((ISNUMBER(①CSVペースト!$A$4:$A$103))*(MONTH(IF(ISNUMBER(①CSVペースト!$A$4:$A$103),①CSVペースト!$A$4:$A$103,TODAY()))=7)*(①CSVペースト!$E$4:$E$103="仕入")*ABS(①CSVペースト!$C$4:$C$103))</f>
        <v>0</v>
      </c>
      <c r="J11" s="48">
        <f ca="1">SUMPRODUCT((ISNUMBER(①CSVペースト!$A$4:$A$103))*(MONTH(IF(ISNUMBER(①CSVペースト!$A$4:$A$103),①CSVペースト!$A$4:$A$103,TODAY()))=8)*(①CSVペースト!$E$4:$E$103="仕入")*ABS(①CSVペースト!$C$4:$C$103))</f>
        <v>0</v>
      </c>
      <c r="K11" s="48">
        <f ca="1">SUMPRODUCT((ISNUMBER(①CSVペースト!$A$4:$A$103))*(MONTH(IF(ISNUMBER(①CSVペースト!$A$4:$A$103),①CSVペースト!$A$4:$A$103,TODAY()))=9)*(①CSVペースト!$E$4:$E$103="仕入")*ABS(①CSVペースト!$C$4:$C$103))</f>
        <v>0</v>
      </c>
      <c r="L11" s="48">
        <f ca="1">SUMPRODUCT((ISNUMBER(①CSVペースト!$A$4:$A$103))*(MONTH(IF(ISNUMBER(①CSVペースト!$A$4:$A$103),①CSVペースト!$A$4:$A$103,TODAY()))=10)*(①CSVペースト!$E$4:$E$103="仕入")*ABS(①CSVペースト!$C$4:$C$103))</f>
        <v>0</v>
      </c>
      <c r="M11" s="48">
        <f ca="1">SUMPRODUCT((ISNUMBER(①CSVペースト!$A$4:$A$103))*(MONTH(IF(ISNUMBER(①CSVペースト!$A$4:$A$103),①CSVペースト!$A$4:$A$103,TODAY()))=11)*(①CSVペースト!$E$4:$E$103="仕入")*ABS(①CSVペースト!$C$4:$C$103))</f>
        <v>0</v>
      </c>
      <c r="N11" s="48">
        <f ca="1">SUMPRODUCT((ISNUMBER(①CSVペースト!$A$4:$A$103))*(MONTH(IF(ISNUMBER(①CSVペースト!$A$4:$A$103),①CSVペースト!$A$4:$A$103,TODAY()))=12)*(①CSVペースト!$E$4:$E$103="仕入")*ABS(①CSVペースト!$C$4:$C$103))</f>
        <v>0</v>
      </c>
      <c r="O11" s="49">
        <f t="shared" ref="O11:O19" ca="1" si="1">SUM(C11:N11)</f>
        <v>0</v>
      </c>
    </row>
    <row r="12" spans="2:15" ht="19.5" customHeight="1">
      <c r="B12" s="47" t="s">
        <v>71</v>
      </c>
      <c r="C12" s="48">
        <f ca="1">SUMPRODUCT((ISNUMBER(①CSVペースト!$A$4:$A$103))*(MONTH(IF(ISNUMBER(①CSVペースト!$A$4:$A$103),①CSVペースト!$A$4:$A$103,TODAY()))=1)*(①CSVペースト!$E$4:$E$103="交通費")*ABS(①CSVペースト!$C$4:$C$103))</f>
        <v>0</v>
      </c>
      <c r="D12" s="48">
        <f ca="1">SUMPRODUCT((ISNUMBER(①CSVペースト!$A$4:$A$103))*(MONTH(IF(ISNUMBER(①CSVペースト!$A$4:$A$103),①CSVペースト!$A$4:$A$103,TODAY()))=2)*(①CSVペースト!$E$4:$E$103="交通費")*ABS(①CSVペースト!$C$4:$C$103))</f>
        <v>0</v>
      </c>
      <c r="E12" s="48">
        <f ca="1">SUMPRODUCT((ISNUMBER(①CSVペースト!$A$4:$A$103))*(MONTH(IF(ISNUMBER(①CSVペースト!$A$4:$A$103),①CSVペースト!$A$4:$A$103,TODAY()))=3)*(①CSVペースト!$E$4:$E$103="交通費")*ABS(①CSVペースト!$C$4:$C$103))</f>
        <v>0</v>
      </c>
      <c r="F12" s="48">
        <f ca="1">SUMPRODUCT((ISNUMBER(①CSVペースト!$A$4:$A$103))*(MONTH(IF(ISNUMBER(①CSVペースト!$A$4:$A$103),①CSVペースト!$A$4:$A$103,TODAY()))=4)*(①CSVペースト!$E$4:$E$103="交通費")*ABS(①CSVペースト!$C$4:$C$103))</f>
        <v>0</v>
      </c>
      <c r="G12" s="48">
        <f ca="1">SUMPRODUCT((ISNUMBER(①CSVペースト!$A$4:$A$103))*(MONTH(IF(ISNUMBER(①CSVペースト!$A$4:$A$103),①CSVペースト!$A$4:$A$103,TODAY()))=5)*(①CSVペースト!$E$4:$E$103="交通費")*ABS(①CSVペースト!$C$4:$C$103))</f>
        <v>0</v>
      </c>
      <c r="H12" s="48">
        <f ca="1">SUMPRODUCT((ISNUMBER(①CSVペースト!$A$4:$A$103))*(MONTH(IF(ISNUMBER(①CSVペースト!$A$4:$A$103),①CSVペースト!$A$4:$A$103,TODAY()))=6)*(①CSVペースト!$E$4:$E$103="交通費")*ABS(①CSVペースト!$C$4:$C$103))</f>
        <v>0</v>
      </c>
      <c r="I12" s="48">
        <f ca="1">SUMPRODUCT((ISNUMBER(①CSVペースト!$A$4:$A$103))*(MONTH(IF(ISNUMBER(①CSVペースト!$A$4:$A$103),①CSVペースト!$A$4:$A$103,TODAY()))=7)*(①CSVペースト!$E$4:$E$103="交通費")*ABS(①CSVペースト!$C$4:$C$103))</f>
        <v>0</v>
      </c>
      <c r="J12" s="48">
        <f ca="1">SUMPRODUCT((ISNUMBER(①CSVペースト!$A$4:$A$103))*(MONTH(IF(ISNUMBER(①CSVペースト!$A$4:$A$103),①CSVペースト!$A$4:$A$103,TODAY()))=8)*(①CSVペースト!$E$4:$E$103="交通費")*ABS(①CSVペースト!$C$4:$C$103))</f>
        <v>0</v>
      </c>
      <c r="K12" s="48">
        <f ca="1">SUMPRODUCT((ISNUMBER(①CSVペースト!$A$4:$A$103))*(MONTH(IF(ISNUMBER(①CSVペースト!$A$4:$A$103),①CSVペースト!$A$4:$A$103,TODAY()))=9)*(①CSVペースト!$E$4:$E$103="交通費")*ABS(①CSVペースト!$C$4:$C$103))</f>
        <v>0</v>
      </c>
      <c r="L12" s="48">
        <f ca="1">SUMPRODUCT((ISNUMBER(①CSVペースト!$A$4:$A$103))*(MONTH(IF(ISNUMBER(①CSVペースト!$A$4:$A$103),①CSVペースト!$A$4:$A$103,TODAY()))=10)*(①CSVペースト!$E$4:$E$103="交通費")*ABS(①CSVペースト!$C$4:$C$103))</f>
        <v>0</v>
      </c>
      <c r="M12" s="48">
        <f ca="1">SUMPRODUCT((ISNUMBER(①CSVペースト!$A$4:$A$103))*(MONTH(IF(ISNUMBER(①CSVペースト!$A$4:$A$103),①CSVペースト!$A$4:$A$103,TODAY()))=11)*(①CSVペースト!$E$4:$E$103="交通費")*ABS(①CSVペースト!$C$4:$C$103))</f>
        <v>0</v>
      </c>
      <c r="N12" s="48">
        <f ca="1">SUMPRODUCT((ISNUMBER(①CSVペースト!$A$4:$A$103))*(MONTH(IF(ISNUMBER(①CSVペースト!$A$4:$A$103),①CSVペースト!$A$4:$A$103,TODAY()))=12)*(①CSVペースト!$E$4:$E$103="交通費")*ABS(①CSVペースト!$C$4:$C$103))</f>
        <v>0</v>
      </c>
      <c r="O12" s="49">
        <f t="shared" ca="1" si="1"/>
        <v>0</v>
      </c>
    </row>
    <row r="13" spans="2:15" ht="19.5" customHeight="1">
      <c r="B13" s="47" t="s">
        <v>72</v>
      </c>
      <c r="C13" s="48">
        <f ca="1">SUMPRODUCT((ISNUMBER(①CSVペースト!$A$4:$A$103))*(MONTH(IF(ISNUMBER(①CSVペースト!$A$4:$A$103),①CSVペースト!$A$4:$A$103,TODAY()))=1)*(①CSVペースト!$E$4:$E$103="通信費")*ABS(①CSVペースト!$C$4:$C$103))</f>
        <v>0</v>
      </c>
      <c r="D13" s="48">
        <f ca="1">SUMPRODUCT((ISNUMBER(①CSVペースト!$A$4:$A$103))*(MONTH(IF(ISNUMBER(①CSVペースト!$A$4:$A$103),①CSVペースト!$A$4:$A$103,TODAY()))=2)*(①CSVペースト!$E$4:$E$103="通信費")*ABS(①CSVペースト!$C$4:$C$103))</f>
        <v>0</v>
      </c>
      <c r="E13" s="48">
        <f ca="1">SUMPRODUCT((ISNUMBER(①CSVペースト!$A$4:$A$103))*(MONTH(IF(ISNUMBER(①CSVペースト!$A$4:$A$103),①CSVペースト!$A$4:$A$103,TODAY()))=3)*(①CSVペースト!$E$4:$E$103="通信費")*ABS(①CSVペースト!$C$4:$C$103))</f>
        <v>0</v>
      </c>
      <c r="F13" s="48">
        <f ca="1">SUMPRODUCT((ISNUMBER(①CSVペースト!$A$4:$A$103))*(MONTH(IF(ISNUMBER(①CSVペースト!$A$4:$A$103),①CSVペースト!$A$4:$A$103,TODAY()))=4)*(①CSVペースト!$E$4:$E$103="通信費")*ABS(①CSVペースト!$C$4:$C$103))</f>
        <v>0</v>
      </c>
      <c r="G13" s="48">
        <f ca="1">SUMPRODUCT((ISNUMBER(①CSVペースト!$A$4:$A$103))*(MONTH(IF(ISNUMBER(①CSVペースト!$A$4:$A$103),①CSVペースト!$A$4:$A$103,TODAY()))=5)*(①CSVペースト!$E$4:$E$103="通信費")*ABS(①CSVペースト!$C$4:$C$103))</f>
        <v>0</v>
      </c>
      <c r="H13" s="48">
        <f ca="1">SUMPRODUCT((ISNUMBER(①CSVペースト!$A$4:$A$103))*(MONTH(IF(ISNUMBER(①CSVペースト!$A$4:$A$103),①CSVペースト!$A$4:$A$103,TODAY()))=6)*(①CSVペースト!$E$4:$E$103="通信費")*ABS(①CSVペースト!$C$4:$C$103))</f>
        <v>0</v>
      </c>
      <c r="I13" s="48">
        <f ca="1">SUMPRODUCT((ISNUMBER(①CSVペースト!$A$4:$A$103))*(MONTH(IF(ISNUMBER(①CSVペースト!$A$4:$A$103),①CSVペースト!$A$4:$A$103,TODAY()))=7)*(①CSVペースト!$E$4:$E$103="通信費")*ABS(①CSVペースト!$C$4:$C$103))</f>
        <v>0</v>
      </c>
      <c r="J13" s="48">
        <f ca="1">SUMPRODUCT((ISNUMBER(①CSVペースト!$A$4:$A$103))*(MONTH(IF(ISNUMBER(①CSVペースト!$A$4:$A$103),①CSVペースト!$A$4:$A$103,TODAY()))=8)*(①CSVペースト!$E$4:$E$103="通信費")*ABS(①CSVペースト!$C$4:$C$103))</f>
        <v>0</v>
      </c>
      <c r="K13" s="48">
        <f ca="1">SUMPRODUCT((ISNUMBER(①CSVペースト!$A$4:$A$103))*(MONTH(IF(ISNUMBER(①CSVペースト!$A$4:$A$103),①CSVペースト!$A$4:$A$103,TODAY()))=9)*(①CSVペースト!$E$4:$E$103="通信費")*ABS(①CSVペースト!$C$4:$C$103))</f>
        <v>0</v>
      </c>
      <c r="L13" s="48">
        <f ca="1">SUMPRODUCT((ISNUMBER(①CSVペースト!$A$4:$A$103))*(MONTH(IF(ISNUMBER(①CSVペースト!$A$4:$A$103),①CSVペースト!$A$4:$A$103,TODAY()))=10)*(①CSVペースト!$E$4:$E$103="通信費")*ABS(①CSVペースト!$C$4:$C$103))</f>
        <v>0</v>
      </c>
      <c r="M13" s="48">
        <f ca="1">SUMPRODUCT((ISNUMBER(①CSVペースト!$A$4:$A$103))*(MONTH(IF(ISNUMBER(①CSVペースト!$A$4:$A$103),①CSVペースト!$A$4:$A$103,TODAY()))=11)*(①CSVペースト!$E$4:$E$103="通信費")*ABS(①CSVペースト!$C$4:$C$103))</f>
        <v>0</v>
      </c>
      <c r="N13" s="48">
        <f ca="1">SUMPRODUCT((ISNUMBER(①CSVペースト!$A$4:$A$103))*(MONTH(IF(ISNUMBER(①CSVペースト!$A$4:$A$103),①CSVペースト!$A$4:$A$103,TODAY()))=12)*(①CSVペースト!$E$4:$E$103="通信費")*ABS(①CSVペースト!$C$4:$C$103))</f>
        <v>0</v>
      </c>
      <c r="O13" s="49">
        <f t="shared" ca="1" si="1"/>
        <v>0</v>
      </c>
    </row>
    <row r="14" spans="2:15" ht="19.5" customHeight="1">
      <c r="B14" s="47" t="s">
        <v>73</v>
      </c>
      <c r="C14" s="48">
        <f ca="1">SUMPRODUCT((ISNUMBER(①CSVペースト!$A$4:$A$103))*(MONTH(IF(ISNUMBER(①CSVペースト!$A$4:$A$103),①CSVペースト!$A$4:$A$103,TODAY()))=1)*(①CSVペースト!$E$4:$E$103="消耗品費")*ABS(①CSVペースト!$C$4:$C$103))</f>
        <v>0</v>
      </c>
      <c r="D14" s="48">
        <f ca="1">SUMPRODUCT((ISNUMBER(①CSVペースト!$A$4:$A$103))*(MONTH(IF(ISNUMBER(①CSVペースト!$A$4:$A$103),①CSVペースト!$A$4:$A$103,TODAY()))=2)*(①CSVペースト!$E$4:$E$103="消耗品費")*ABS(①CSVペースト!$C$4:$C$103))</f>
        <v>0</v>
      </c>
      <c r="E14" s="48">
        <f ca="1">SUMPRODUCT((ISNUMBER(①CSVペースト!$A$4:$A$103))*(MONTH(IF(ISNUMBER(①CSVペースト!$A$4:$A$103),①CSVペースト!$A$4:$A$103,TODAY()))=3)*(①CSVペースト!$E$4:$E$103="消耗品費")*ABS(①CSVペースト!$C$4:$C$103))</f>
        <v>0</v>
      </c>
      <c r="F14" s="48">
        <f ca="1">SUMPRODUCT((ISNUMBER(①CSVペースト!$A$4:$A$103))*(MONTH(IF(ISNUMBER(①CSVペースト!$A$4:$A$103),①CSVペースト!$A$4:$A$103,TODAY()))=4)*(①CSVペースト!$E$4:$E$103="消耗品費")*ABS(①CSVペースト!$C$4:$C$103))</f>
        <v>0</v>
      </c>
      <c r="G14" s="48">
        <f ca="1">SUMPRODUCT((ISNUMBER(①CSVペースト!$A$4:$A$103))*(MONTH(IF(ISNUMBER(①CSVペースト!$A$4:$A$103),①CSVペースト!$A$4:$A$103,TODAY()))=5)*(①CSVペースト!$E$4:$E$103="消耗品費")*ABS(①CSVペースト!$C$4:$C$103))</f>
        <v>45000</v>
      </c>
      <c r="H14" s="48">
        <f ca="1">SUMPRODUCT((ISNUMBER(①CSVペースト!$A$4:$A$103))*(MONTH(IF(ISNUMBER(①CSVペースト!$A$4:$A$103),①CSVペースト!$A$4:$A$103,TODAY()))=6)*(①CSVペースト!$E$4:$E$103="消耗品費")*ABS(①CSVペースト!$C$4:$C$103))</f>
        <v>0</v>
      </c>
      <c r="I14" s="48">
        <f ca="1">SUMPRODUCT((ISNUMBER(①CSVペースト!$A$4:$A$103))*(MONTH(IF(ISNUMBER(①CSVペースト!$A$4:$A$103),①CSVペースト!$A$4:$A$103,TODAY()))=7)*(①CSVペースト!$E$4:$E$103="消耗品費")*ABS(①CSVペースト!$C$4:$C$103))</f>
        <v>0</v>
      </c>
      <c r="J14" s="48">
        <f ca="1">SUMPRODUCT((ISNUMBER(①CSVペースト!$A$4:$A$103))*(MONTH(IF(ISNUMBER(①CSVペースト!$A$4:$A$103),①CSVペースト!$A$4:$A$103,TODAY()))=8)*(①CSVペースト!$E$4:$E$103="消耗品費")*ABS(①CSVペースト!$C$4:$C$103))</f>
        <v>0</v>
      </c>
      <c r="K14" s="48">
        <f ca="1">SUMPRODUCT((ISNUMBER(①CSVペースト!$A$4:$A$103))*(MONTH(IF(ISNUMBER(①CSVペースト!$A$4:$A$103),①CSVペースト!$A$4:$A$103,TODAY()))=9)*(①CSVペースト!$E$4:$E$103="消耗品費")*ABS(①CSVペースト!$C$4:$C$103))</f>
        <v>0</v>
      </c>
      <c r="L14" s="48">
        <f ca="1">SUMPRODUCT((ISNUMBER(①CSVペースト!$A$4:$A$103))*(MONTH(IF(ISNUMBER(①CSVペースト!$A$4:$A$103),①CSVペースト!$A$4:$A$103,TODAY()))=10)*(①CSVペースト!$E$4:$E$103="消耗品費")*ABS(①CSVペースト!$C$4:$C$103))</f>
        <v>0</v>
      </c>
      <c r="M14" s="48">
        <f ca="1">SUMPRODUCT((ISNUMBER(①CSVペースト!$A$4:$A$103))*(MONTH(IF(ISNUMBER(①CSVペースト!$A$4:$A$103),①CSVペースト!$A$4:$A$103,TODAY()))=11)*(①CSVペースト!$E$4:$E$103="消耗品費")*ABS(①CSVペースト!$C$4:$C$103))</f>
        <v>0</v>
      </c>
      <c r="N14" s="48">
        <f ca="1">SUMPRODUCT((ISNUMBER(①CSVペースト!$A$4:$A$103))*(MONTH(IF(ISNUMBER(①CSVペースト!$A$4:$A$103),①CSVペースト!$A$4:$A$103,TODAY()))=12)*(①CSVペースト!$E$4:$E$103="消耗品費")*ABS(①CSVペースト!$C$4:$C$103))</f>
        <v>0</v>
      </c>
      <c r="O14" s="49">
        <f t="shared" ca="1" si="1"/>
        <v>45000</v>
      </c>
    </row>
    <row r="15" spans="2:15" ht="19.5" customHeight="1">
      <c r="B15" s="47" t="s">
        <v>74</v>
      </c>
      <c r="C15" s="48">
        <f ca="1">SUMPRODUCT((ISNUMBER(①CSVペースト!$A$4:$A$103))*(MONTH(IF(ISNUMBER(①CSVペースト!$A$4:$A$103),①CSVペースト!$A$4:$A$103,TODAY()))=1)*(①CSVペースト!$E$4:$E$103="外注費")*ABS(①CSVペースト!$C$4:$C$103))</f>
        <v>0</v>
      </c>
      <c r="D15" s="48">
        <f ca="1">SUMPRODUCT((ISNUMBER(①CSVペースト!$A$4:$A$103))*(MONTH(IF(ISNUMBER(①CSVペースト!$A$4:$A$103),①CSVペースト!$A$4:$A$103,TODAY()))=2)*(①CSVペースト!$E$4:$E$103="外注費")*ABS(①CSVペースト!$C$4:$C$103))</f>
        <v>0</v>
      </c>
      <c r="E15" s="48">
        <f ca="1">SUMPRODUCT((ISNUMBER(①CSVペースト!$A$4:$A$103))*(MONTH(IF(ISNUMBER(①CSVペースト!$A$4:$A$103),①CSVペースト!$A$4:$A$103,TODAY()))=3)*(①CSVペースト!$E$4:$E$103="外注費")*ABS(①CSVペースト!$C$4:$C$103))</f>
        <v>0</v>
      </c>
      <c r="F15" s="48">
        <f ca="1">SUMPRODUCT((ISNUMBER(①CSVペースト!$A$4:$A$103))*(MONTH(IF(ISNUMBER(①CSVペースト!$A$4:$A$103),①CSVペースト!$A$4:$A$103,TODAY()))=4)*(①CSVペースト!$E$4:$E$103="外注費")*ABS(①CSVペースト!$C$4:$C$103))</f>
        <v>0</v>
      </c>
      <c r="G15" s="48">
        <f ca="1">SUMPRODUCT((ISNUMBER(①CSVペースト!$A$4:$A$103))*(MONTH(IF(ISNUMBER(①CSVペースト!$A$4:$A$103),①CSVペースト!$A$4:$A$103,TODAY()))=5)*(①CSVペースト!$E$4:$E$103="外注費")*ABS(①CSVペースト!$C$4:$C$103))</f>
        <v>0</v>
      </c>
      <c r="H15" s="48">
        <f ca="1">SUMPRODUCT((ISNUMBER(①CSVペースト!$A$4:$A$103))*(MONTH(IF(ISNUMBER(①CSVペースト!$A$4:$A$103),①CSVペースト!$A$4:$A$103,TODAY()))=6)*(①CSVペースト!$E$4:$E$103="外注費")*ABS(①CSVペースト!$C$4:$C$103))</f>
        <v>0</v>
      </c>
      <c r="I15" s="48">
        <f ca="1">SUMPRODUCT((ISNUMBER(①CSVペースト!$A$4:$A$103))*(MONTH(IF(ISNUMBER(①CSVペースト!$A$4:$A$103),①CSVペースト!$A$4:$A$103,TODAY()))=7)*(①CSVペースト!$E$4:$E$103="外注費")*ABS(①CSVペースト!$C$4:$C$103))</f>
        <v>0</v>
      </c>
      <c r="J15" s="48">
        <f ca="1">SUMPRODUCT((ISNUMBER(①CSVペースト!$A$4:$A$103))*(MONTH(IF(ISNUMBER(①CSVペースト!$A$4:$A$103),①CSVペースト!$A$4:$A$103,TODAY()))=8)*(①CSVペースト!$E$4:$E$103="外注費")*ABS(①CSVペースト!$C$4:$C$103))</f>
        <v>0</v>
      </c>
      <c r="K15" s="48">
        <f ca="1">SUMPRODUCT((ISNUMBER(①CSVペースト!$A$4:$A$103))*(MONTH(IF(ISNUMBER(①CSVペースト!$A$4:$A$103),①CSVペースト!$A$4:$A$103,TODAY()))=9)*(①CSVペースト!$E$4:$E$103="外注費")*ABS(①CSVペースト!$C$4:$C$103))</f>
        <v>0</v>
      </c>
      <c r="L15" s="48">
        <f ca="1">SUMPRODUCT((ISNUMBER(①CSVペースト!$A$4:$A$103))*(MONTH(IF(ISNUMBER(①CSVペースト!$A$4:$A$103),①CSVペースト!$A$4:$A$103,TODAY()))=10)*(①CSVペースト!$E$4:$E$103="外注費")*ABS(①CSVペースト!$C$4:$C$103))</f>
        <v>0</v>
      </c>
      <c r="M15" s="48">
        <f ca="1">SUMPRODUCT((ISNUMBER(①CSVペースト!$A$4:$A$103))*(MONTH(IF(ISNUMBER(①CSVペースト!$A$4:$A$103),①CSVペースト!$A$4:$A$103,TODAY()))=11)*(①CSVペースト!$E$4:$E$103="外注費")*ABS(①CSVペースト!$C$4:$C$103))</f>
        <v>0</v>
      </c>
      <c r="N15" s="48">
        <f ca="1">SUMPRODUCT((ISNUMBER(①CSVペースト!$A$4:$A$103))*(MONTH(IF(ISNUMBER(①CSVペースト!$A$4:$A$103),①CSVペースト!$A$4:$A$103,TODAY()))=12)*(①CSVペースト!$E$4:$E$103="外注費")*ABS(①CSVペースト!$C$4:$C$103))</f>
        <v>0</v>
      </c>
      <c r="O15" s="49">
        <f t="shared" ca="1" si="1"/>
        <v>0</v>
      </c>
    </row>
    <row r="16" spans="2:15" ht="19.5" customHeight="1">
      <c r="B16" s="47" t="s">
        <v>75</v>
      </c>
      <c r="C16" s="48">
        <f ca="1">SUMPRODUCT((ISNUMBER(①CSVペースト!$A$4:$A$103))*(MONTH(IF(ISNUMBER(①CSVペースト!$A$4:$A$103),①CSVペースト!$A$4:$A$103,TODAY()))=1)*(①CSVペースト!$E$4:$E$103="地代家賃")*ABS(①CSVペースト!$C$4:$C$103))</f>
        <v>0</v>
      </c>
      <c r="D16" s="48">
        <f ca="1">SUMPRODUCT((ISNUMBER(①CSVペースト!$A$4:$A$103))*(MONTH(IF(ISNUMBER(①CSVペースト!$A$4:$A$103),①CSVペースト!$A$4:$A$103,TODAY()))=2)*(①CSVペースト!$E$4:$E$103="地代家賃")*ABS(①CSVペースト!$C$4:$C$103))</f>
        <v>0</v>
      </c>
      <c r="E16" s="48">
        <f ca="1">SUMPRODUCT((ISNUMBER(①CSVペースト!$A$4:$A$103))*(MONTH(IF(ISNUMBER(①CSVペースト!$A$4:$A$103),①CSVペースト!$A$4:$A$103,TODAY()))=3)*(①CSVペースト!$E$4:$E$103="地代家賃")*ABS(①CSVペースト!$C$4:$C$103))</f>
        <v>0</v>
      </c>
      <c r="F16" s="48">
        <f ca="1">SUMPRODUCT((ISNUMBER(①CSVペースト!$A$4:$A$103))*(MONTH(IF(ISNUMBER(①CSVペースト!$A$4:$A$103),①CSVペースト!$A$4:$A$103,TODAY()))=4)*(①CSVペースト!$E$4:$E$103="地代家賃")*ABS(①CSVペースト!$C$4:$C$103))</f>
        <v>0</v>
      </c>
      <c r="G16" s="48">
        <f ca="1">SUMPRODUCT((ISNUMBER(①CSVペースト!$A$4:$A$103))*(MONTH(IF(ISNUMBER(①CSVペースト!$A$4:$A$103),①CSVペースト!$A$4:$A$103,TODAY()))=5)*(①CSVペースト!$E$4:$E$103="地代家賃")*ABS(①CSVペースト!$C$4:$C$103))</f>
        <v>80000</v>
      </c>
      <c r="H16" s="48">
        <f ca="1">SUMPRODUCT((ISNUMBER(①CSVペースト!$A$4:$A$103))*(MONTH(IF(ISNUMBER(①CSVペースト!$A$4:$A$103),①CSVペースト!$A$4:$A$103,TODAY()))=6)*(①CSVペースト!$E$4:$E$103="地代家賃")*ABS(①CSVペースト!$C$4:$C$103))</f>
        <v>0</v>
      </c>
      <c r="I16" s="48">
        <f ca="1">SUMPRODUCT((ISNUMBER(①CSVペースト!$A$4:$A$103))*(MONTH(IF(ISNUMBER(①CSVペースト!$A$4:$A$103),①CSVペースト!$A$4:$A$103,TODAY()))=7)*(①CSVペースト!$E$4:$E$103="地代家賃")*ABS(①CSVペースト!$C$4:$C$103))</f>
        <v>0</v>
      </c>
      <c r="J16" s="48">
        <f ca="1">SUMPRODUCT((ISNUMBER(①CSVペースト!$A$4:$A$103))*(MONTH(IF(ISNUMBER(①CSVペースト!$A$4:$A$103),①CSVペースト!$A$4:$A$103,TODAY()))=8)*(①CSVペースト!$E$4:$E$103="地代家賃")*ABS(①CSVペースト!$C$4:$C$103))</f>
        <v>0</v>
      </c>
      <c r="K16" s="48">
        <f ca="1">SUMPRODUCT((ISNUMBER(①CSVペースト!$A$4:$A$103))*(MONTH(IF(ISNUMBER(①CSVペースト!$A$4:$A$103),①CSVペースト!$A$4:$A$103,TODAY()))=9)*(①CSVペースト!$E$4:$E$103="地代家賃")*ABS(①CSVペースト!$C$4:$C$103))</f>
        <v>0</v>
      </c>
      <c r="L16" s="48">
        <f ca="1">SUMPRODUCT((ISNUMBER(①CSVペースト!$A$4:$A$103))*(MONTH(IF(ISNUMBER(①CSVペースト!$A$4:$A$103),①CSVペースト!$A$4:$A$103,TODAY()))=10)*(①CSVペースト!$E$4:$E$103="地代家賃")*ABS(①CSVペースト!$C$4:$C$103))</f>
        <v>0</v>
      </c>
      <c r="M16" s="48">
        <f ca="1">SUMPRODUCT((ISNUMBER(①CSVペースト!$A$4:$A$103))*(MONTH(IF(ISNUMBER(①CSVペースト!$A$4:$A$103),①CSVペースト!$A$4:$A$103,TODAY()))=11)*(①CSVペースト!$E$4:$E$103="地代家賃")*ABS(①CSVペースト!$C$4:$C$103))</f>
        <v>0</v>
      </c>
      <c r="N16" s="48">
        <f ca="1">SUMPRODUCT((ISNUMBER(①CSVペースト!$A$4:$A$103))*(MONTH(IF(ISNUMBER(①CSVペースト!$A$4:$A$103),①CSVペースト!$A$4:$A$103,TODAY()))=12)*(①CSVペースト!$E$4:$E$103="地代家賃")*ABS(①CSVペースト!$C$4:$C$103))</f>
        <v>0</v>
      </c>
      <c r="O16" s="49">
        <f t="shared" ca="1" si="1"/>
        <v>80000</v>
      </c>
    </row>
    <row r="17" spans="2:15" ht="19.5" customHeight="1">
      <c r="B17" s="47" t="s">
        <v>76</v>
      </c>
      <c r="C17" s="48">
        <f ca="1">SUMPRODUCT((ISNUMBER(①CSVペースト!$A$4:$A$103))*(MONTH(IF(ISNUMBER(①CSVペースト!$A$4:$A$103),①CSVペースト!$A$4:$A$103,TODAY()))=1)*(①CSVペースト!$E$4:$E$103="広告宣伝費")*ABS(①CSVペースト!$C$4:$C$103))</f>
        <v>0</v>
      </c>
      <c r="D17" s="48">
        <f ca="1">SUMPRODUCT((ISNUMBER(①CSVペースト!$A$4:$A$103))*(MONTH(IF(ISNUMBER(①CSVペースト!$A$4:$A$103),①CSVペースト!$A$4:$A$103,TODAY()))=2)*(①CSVペースト!$E$4:$E$103="広告宣伝費")*ABS(①CSVペースト!$C$4:$C$103))</f>
        <v>0</v>
      </c>
      <c r="E17" s="48">
        <f ca="1">SUMPRODUCT((ISNUMBER(①CSVペースト!$A$4:$A$103))*(MONTH(IF(ISNUMBER(①CSVペースト!$A$4:$A$103),①CSVペースト!$A$4:$A$103,TODAY()))=3)*(①CSVペースト!$E$4:$E$103="広告宣伝費")*ABS(①CSVペースト!$C$4:$C$103))</f>
        <v>0</v>
      </c>
      <c r="F17" s="48">
        <f ca="1">SUMPRODUCT((ISNUMBER(①CSVペースト!$A$4:$A$103))*(MONTH(IF(ISNUMBER(①CSVペースト!$A$4:$A$103),①CSVペースト!$A$4:$A$103,TODAY()))=4)*(①CSVペースト!$E$4:$E$103="広告宣伝費")*ABS(①CSVペースト!$C$4:$C$103))</f>
        <v>0</v>
      </c>
      <c r="G17" s="48">
        <f ca="1">SUMPRODUCT((ISNUMBER(①CSVペースト!$A$4:$A$103))*(MONTH(IF(ISNUMBER(①CSVペースト!$A$4:$A$103),①CSVペースト!$A$4:$A$103,TODAY()))=5)*(①CSVペースト!$E$4:$E$103="広告宣伝費")*ABS(①CSVペースト!$C$4:$C$103))</f>
        <v>0</v>
      </c>
      <c r="H17" s="48">
        <f ca="1">SUMPRODUCT((ISNUMBER(①CSVペースト!$A$4:$A$103))*(MONTH(IF(ISNUMBER(①CSVペースト!$A$4:$A$103),①CSVペースト!$A$4:$A$103,TODAY()))=6)*(①CSVペースト!$E$4:$E$103="広告宣伝費")*ABS(①CSVペースト!$C$4:$C$103))</f>
        <v>0</v>
      </c>
      <c r="I17" s="48">
        <f ca="1">SUMPRODUCT((ISNUMBER(①CSVペースト!$A$4:$A$103))*(MONTH(IF(ISNUMBER(①CSVペースト!$A$4:$A$103),①CSVペースト!$A$4:$A$103,TODAY()))=7)*(①CSVペースト!$E$4:$E$103="広告宣伝費")*ABS(①CSVペースト!$C$4:$C$103))</f>
        <v>0</v>
      </c>
      <c r="J17" s="48">
        <f ca="1">SUMPRODUCT((ISNUMBER(①CSVペースト!$A$4:$A$103))*(MONTH(IF(ISNUMBER(①CSVペースト!$A$4:$A$103),①CSVペースト!$A$4:$A$103,TODAY()))=8)*(①CSVペースト!$E$4:$E$103="広告宣伝費")*ABS(①CSVペースト!$C$4:$C$103))</f>
        <v>0</v>
      </c>
      <c r="K17" s="48">
        <f ca="1">SUMPRODUCT((ISNUMBER(①CSVペースト!$A$4:$A$103))*(MONTH(IF(ISNUMBER(①CSVペースト!$A$4:$A$103),①CSVペースト!$A$4:$A$103,TODAY()))=9)*(①CSVペースト!$E$4:$E$103="広告宣伝費")*ABS(①CSVペースト!$C$4:$C$103))</f>
        <v>0</v>
      </c>
      <c r="L17" s="48">
        <f ca="1">SUMPRODUCT((ISNUMBER(①CSVペースト!$A$4:$A$103))*(MONTH(IF(ISNUMBER(①CSVペースト!$A$4:$A$103),①CSVペースト!$A$4:$A$103,TODAY()))=10)*(①CSVペースト!$E$4:$E$103="広告宣伝費")*ABS(①CSVペースト!$C$4:$C$103))</f>
        <v>0</v>
      </c>
      <c r="M17" s="48">
        <f ca="1">SUMPRODUCT((ISNUMBER(①CSVペースト!$A$4:$A$103))*(MONTH(IF(ISNUMBER(①CSVペースト!$A$4:$A$103),①CSVペースト!$A$4:$A$103,TODAY()))=11)*(①CSVペースト!$E$4:$E$103="広告宣伝費")*ABS(①CSVペースト!$C$4:$C$103))</f>
        <v>0</v>
      </c>
      <c r="N17" s="48">
        <f ca="1">SUMPRODUCT((ISNUMBER(①CSVペースト!$A$4:$A$103))*(MONTH(IF(ISNUMBER(①CSVペースト!$A$4:$A$103),①CSVペースト!$A$4:$A$103,TODAY()))=12)*(①CSVペースト!$E$4:$E$103="広告宣伝費")*ABS(①CSVペースト!$C$4:$C$103))</f>
        <v>0</v>
      </c>
      <c r="O17" s="49">
        <f t="shared" ca="1" si="1"/>
        <v>0</v>
      </c>
    </row>
    <row r="18" spans="2:15" ht="19.5" customHeight="1">
      <c r="B18" s="47" t="s">
        <v>77</v>
      </c>
      <c r="C18" s="48">
        <f ca="1">SUMPRODUCT((ISNUMBER(①CSVペースト!$A$4:$A$103))*(MONTH(IF(ISNUMBER(①CSVペースト!$A$4:$A$103),①CSVペースト!$A$4:$A$103,TODAY()))=1)*(①CSVペースト!$E$4:$E$103="水道光熱費")*ABS(①CSVペースト!$C$4:$C$103))</f>
        <v>0</v>
      </c>
      <c r="D18" s="48">
        <f ca="1">SUMPRODUCT((ISNUMBER(①CSVペースト!$A$4:$A$103))*(MONTH(IF(ISNUMBER(①CSVペースト!$A$4:$A$103),①CSVペースト!$A$4:$A$103,TODAY()))=2)*(①CSVペースト!$E$4:$E$103="水道光熱費")*ABS(①CSVペースト!$C$4:$C$103))</f>
        <v>0</v>
      </c>
      <c r="E18" s="48">
        <f ca="1">SUMPRODUCT((ISNUMBER(①CSVペースト!$A$4:$A$103))*(MONTH(IF(ISNUMBER(①CSVペースト!$A$4:$A$103),①CSVペースト!$A$4:$A$103,TODAY()))=3)*(①CSVペースト!$E$4:$E$103="水道光熱費")*ABS(①CSVペースト!$C$4:$C$103))</f>
        <v>0</v>
      </c>
      <c r="F18" s="48">
        <f ca="1">SUMPRODUCT((ISNUMBER(①CSVペースト!$A$4:$A$103))*(MONTH(IF(ISNUMBER(①CSVペースト!$A$4:$A$103),①CSVペースト!$A$4:$A$103,TODAY()))=4)*(①CSVペースト!$E$4:$E$103="水道光熱費")*ABS(①CSVペースト!$C$4:$C$103))</f>
        <v>0</v>
      </c>
      <c r="G18" s="48">
        <f ca="1">SUMPRODUCT((ISNUMBER(①CSVペースト!$A$4:$A$103))*(MONTH(IF(ISNUMBER(①CSVペースト!$A$4:$A$103),①CSVペースト!$A$4:$A$103,TODAY()))=5)*(①CSVペースト!$E$4:$E$103="水道光熱費")*ABS(①CSVペースト!$C$4:$C$103))</f>
        <v>0</v>
      </c>
      <c r="H18" s="48">
        <f ca="1">SUMPRODUCT((ISNUMBER(①CSVペースト!$A$4:$A$103))*(MONTH(IF(ISNUMBER(①CSVペースト!$A$4:$A$103),①CSVペースト!$A$4:$A$103,TODAY()))=6)*(①CSVペースト!$E$4:$E$103="水道光熱費")*ABS(①CSVペースト!$C$4:$C$103))</f>
        <v>0</v>
      </c>
      <c r="I18" s="48">
        <f ca="1">SUMPRODUCT((ISNUMBER(①CSVペースト!$A$4:$A$103))*(MONTH(IF(ISNUMBER(①CSVペースト!$A$4:$A$103),①CSVペースト!$A$4:$A$103,TODAY()))=7)*(①CSVペースト!$E$4:$E$103="水道光熱費")*ABS(①CSVペースト!$C$4:$C$103))</f>
        <v>0</v>
      </c>
      <c r="J18" s="48">
        <f ca="1">SUMPRODUCT((ISNUMBER(①CSVペースト!$A$4:$A$103))*(MONTH(IF(ISNUMBER(①CSVペースト!$A$4:$A$103),①CSVペースト!$A$4:$A$103,TODAY()))=8)*(①CSVペースト!$E$4:$E$103="水道光熱費")*ABS(①CSVペースト!$C$4:$C$103))</f>
        <v>0</v>
      </c>
      <c r="K18" s="48">
        <f ca="1">SUMPRODUCT((ISNUMBER(①CSVペースト!$A$4:$A$103))*(MONTH(IF(ISNUMBER(①CSVペースト!$A$4:$A$103),①CSVペースト!$A$4:$A$103,TODAY()))=9)*(①CSVペースト!$E$4:$E$103="水道光熱費")*ABS(①CSVペースト!$C$4:$C$103))</f>
        <v>0</v>
      </c>
      <c r="L18" s="48">
        <f ca="1">SUMPRODUCT((ISNUMBER(①CSVペースト!$A$4:$A$103))*(MONTH(IF(ISNUMBER(①CSVペースト!$A$4:$A$103),①CSVペースト!$A$4:$A$103,TODAY()))=10)*(①CSVペースト!$E$4:$E$103="水道光熱費")*ABS(①CSVペースト!$C$4:$C$103))</f>
        <v>0</v>
      </c>
      <c r="M18" s="48">
        <f ca="1">SUMPRODUCT((ISNUMBER(①CSVペースト!$A$4:$A$103))*(MONTH(IF(ISNUMBER(①CSVペースト!$A$4:$A$103),①CSVペースト!$A$4:$A$103,TODAY()))=11)*(①CSVペースト!$E$4:$E$103="水道光熱費")*ABS(①CSVペースト!$C$4:$C$103))</f>
        <v>0</v>
      </c>
      <c r="N18" s="48">
        <f ca="1">SUMPRODUCT((ISNUMBER(①CSVペースト!$A$4:$A$103))*(MONTH(IF(ISNUMBER(①CSVペースト!$A$4:$A$103),①CSVペースト!$A$4:$A$103,TODAY()))=12)*(①CSVペースト!$E$4:$E$103="水道光熱費")*ABS(①CSVペースト!$C$4:$C$103))</f>
        <v>0</v>
      </c>
      <c r="O18" s="49">
        <f t="shared" ca="1" si="1"/>
        <v>0</v>
      </c>
    </row>
    <row r="19" spans="2:15" ht="19.5" customHeight="1">
      <c r="B19" s="47" t="s">
        <v>78</v>
      </c>
      <c r="C19" s="48">
        <f ca="1">SUMPRODUCT((ISNUMBER(①CSVペースト!$A$4:$A$103))*(MONTH(IF(ISNUMBER(①CSVペースト!$A$4:$A$103),①CSVペースト!$A$4:$A$103,TODAY()))=1)*(①CSVペースト!$E$4:$E$103="雑費")*ABS(①CSVペースト!$C$4:$C$103))</f>
        <v>0</v>
      </c>
      <c r="D19" s="48">
        <f ca="1">SUMPRODUCT((ISNUMBER(①CSVペースト!$A$4:$A$103))*(MONTH(IF(ISNUMBER(①CSVペースト!$A$4:$A$103),①CSVペースト!$A$4:$A$103,TODAY()))=2)*(①CSVペースト!$E$4:$E$103="雑費")*ABS(①CSVペースト!$C$4:$C$103))</f>
        <v>0</v>
      </c>
      <c r="E19" s="48">
        <f ca="1">SUMPRODUCT((ISNUMBER(①CSVペースト!$A$4:$A$103))*(MONTH(IF(ISNUMBER(①CSVペースト!$A$4:$A$103),①CSVペースト!$A$4:$A$103,TODAY()))=3)*(①CSVペースト!$E$4:$E$103="雑費")*ABS(①CSVペースト!$C$4:$C$103))</f>
        <v>0</v>
      </c>
      <c r="F19" s="48">
        <f ca="1">SUMPRODUCT((ISNUMBER(①CSVペースト!$A$4:$A$103))*(MONTH(IF(ISNUMBER(①CSVペースト!$A$4:$A$103),①CSVペースト!$A$4:$A$103,TODAY()))=4)*(①CSVペースト!$E$4:$E$103="雑費")*ABS(①CSVペースト!$C$4:$C$103))</f>
        <v>0</v>
      </c>
      <c r="G19" s="48">
        <f ca="1">SUMPRODUCT((ISNUMBER(①CSVペースト!$A$4:$A$103))*(MONTH(IF(ISNUMBER(①CSVペースト!$A$4:$A$103),①CSVペースト!$A$4:$A$103,TODAY()))=5)*(①CSVペースト!$E$4:$E$103="雑費")*ABS(①CSVペースト!$C$4:$C$103))</f>
        <v>0</v>
      </c>
      <c r="H19" s="48">
        <f ca="1">SUMPRODUCT((ISNUMBER(①CSVペースト!$A$4:$A$103))*(MONTH(IF(ISNUMBER(①CSVペースト!$A$4:$A$103),①CSVペースト!$A$4:$A$103,TODAY()))=6)*(①CSVペースト!$E$4:$E$103="雑費")*ABS(①CSVペースト!$C$4:$C$103))</f>
        <v>0</v>
      </c>
      <c r="I19" s="48">
        <f ca="1">SUMPRODUCT((ISNUMBER(①CSVペースト!$A$4:$A$103))*(MONTH(IF(ISNUMBER(①CSVペースト!$A$4:$A$103),①CSVペースト!$A$4:$A$103,TODAY()))=7)*(①CSVペースト!$E$4:$E$103="雑費")*ABS(①CSVペースト!$C$4:$C$103))</f>
        <v>0</v>
      </c>
      <c r="J19" s="48">
        <f ca="1">SUMPRODUCT((ISNUMBER(①CSVペースト!$A$4:$A$103))*(MONTH(IF(ISNUMBER(①CSVペースト!$A$4:$A$103),①CSVペースト!$A$4:$A$103,TODAY()))=8)*(①CSVペースト!$E$4:$E$103="雑費")*ABS(①CSVペースト!$C$4:$C$103))</f>
        <v>0</v>
      </c>
      <c r="K19" s="48">
        <f ca="1">SUMPRODUCT((ISNUMBER(①CSVペースト!$A$4:$A$103))*(MONTH(IF(ISNUMBER(①CSVペースト!$A$4:$A$103),①CSVペースト!$A$4:$A$103,TODAY()))=9)*(①CSVペースト!$E$4:$E$103="雑費")*ABS(①CSVペースト!$C$4:$C$103))</f>
        <v>0</v>
      </c>
      <c r="L19" s="48">
        <f ca="1">SUMPRODUCT((ISNUMBER(①CSVペースト!$A$4:$A$103))*(MONTH(IF(ISNUMBER(①CSVペースト!$A$4:$A$103),①CSVペースト!$A$4:$A$103,TODAY()))=10)*(①CSVペースト!$E$4:$E$103="雑費")*ABS(①CSVペースト!$C$4:$C$103))</f>
        <v>0</v>
      </c>
      <c r="M19" s="48">
        <f ca="1">SUMPRODUCT((ISNUMBER(①CSVペースト!$A$4:$A$103))*(MONTH(IF(ISNUMBER(①CSVペースト!$A$4:$A$103),①CSVペースト!$A$4:$A$103,TODAY()))=11)*(①CSVペースト!$E$4:$E$103="雑費")*ABS(①CSVペースト!$C$4:$C$103))</f>
        <v>0</v>
      </c>
      <c r="N19" s="48">
        <f ca="1">SUMPRODUCT((ISNUMBER(①CSVペースト!$A$4:$A$103))*(MONTH(IF(ISNUMBER(①CSVペースト!$A$4:$A$103),①CSVペースト!$A$4:$A$103,TODAY()))=12)*(①CSVペースト!$E$4:$E$103="雑費")*ABS(①CSVペースト!$C$4:$C$103))</f>
        <v>0</v>
      </c>
      <c r="O19" s="49">
        <f t="shared" ca="1" si="1"/>
        <v>0</v>
      </c>
    </row>
    <row r="20" spans="2:15" ht="21.75" customHeight="1">
      <c r="B20" s="50" t="s">
        <v>79</v>
      </c>
      <c r="C20" s="51">
        <f t="shared" ref="C20:O20" ca="1" si="2">SUM(C11:C19)</f>
        <v>0</v>
      </c>
      <c r="D20" s="51">
        <f t="shared" ca="1" si="2"/>
        <v>0</v>
      </c>
      <c r="E20" s="51">
        <f t="shared" ca="1" si="2"/>
        <v>0</v>
      </c>
      <c r="F20" s="51">
        <f t="shared" ca="1" si="2"/>
        <v>0</v>
      </c>
      <c r="G20" s="51">
        <f t="shared" ca="1" si="2"/>
        <v>125000</v>
      </c>
      <c r="H20" s="51">
        <f t="shared" ca="1" si="2"/>
        <v>0</v>
      </c>
      <c r="I20" s="51">
        <f t="shared" ca="1" si="2"/>
        <v>0</v>
      </c>
      <c r="J20" s="51">
        <f t="shared" ca="1" si="2"/>
        <v>0</v>
      </c>
      <c r="K20" s="51">
        <f t="shared" ca="1" si="2"/>
        <v>0</v>
      </c>
      <c r="L20" s="51">
        <f t="shared" ca="1" si="2"/>
        <v>0</v>
      </c>
      <c r="M20" s="51">
        <f t="shared" ca="1" si="2"/>
        <v>0</v>
      </c>
      <c r="N20" s="51">
        <f t="shared" ca="1" si="2"/>
        <v>0</v>
      </c>
      <c r="O20" s="51">
        <f t="shared" ca="1" si="2"/>
        <v>125000</v>
      </c>
    </row>
    <row r="21" spans="2:15" ht="6" customHeight="1"/>
    <row r="22" spans="2:15" ht="25.5" customHeight="1">
      <c r="B22" s="52" t="s">
        <v>80</v>
      </c>
      <c r="C22" s="53">
        <f t="shared" ref="C22:O22" ca="1" si="3">C8-C20</f>
        <v>0</v>
      </c>
      <c r="D22" s="53">
        <f t="shared" ca="1" si="3"/>
        <v>0</v>
      </c>
      <c r="E22" s="53">
        <f t="shared" ca="1" si="3"/>
        <v>0</v>
      </c>
      <c r="F22" s="53">
        <f t="shared" ca="1" si="3"/>
        <v>0</v>
      </c>
      <c r="G22" s="53">
        <f t="shared" ca="1" si="3"/>
        <v>-125000</v>
      </c>
      <c r="H22" s="53">
        <f t="shared" ca="1" si="3"/>
        <v>150000</v>
      </c>
      <c r="I22" s="53">
        <f t="shared" ca="1" si="3"/>
        <v>0</v>
      </c>
      <c r="J22" s="53">
        <f t="shared" ca="1" si="3"/>
        <v>0</v>
      </c>
      <c r="K22" s="53">
        <f t="shared" ca="1" si="3"/>
        <v>0</v>
      </c>
      <c r="L22" s="53">
        <f t="shared" ca="1" si="3"/>
        <v>0</v>
      </c>
      <c r="M22" s="53">
        <f t="shared" ca="1" si="3"/>
        <v>0</v>
      </c>
      <c r="N22" s="53">
        <f t="shared" ca="1" si="3"/>
        <v>0</v>
      </c>
      <c r="O22" s="53">
        <f t="shared" ca="1" si="3"/>
        <v>25000</v>
      </c>
    </row>
  </sheetData>
  <mergeCells count="4">
    <mergeCell ref="B1:O1"/>
    <mergeCell ref="B2:O2"/>
    <mergeCell ref="B5:O5"/>
    <mergeCell ref="B10:O10"/>
  </mergeCells>
  <phoneticPr fontId="43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88888"/>
  </sheetPr>
  <dimension ref="A1:H59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/>
  <cols>
    <col min="1" max="1" width="12" customWidth="1"/>
    <col min="2" max="2" width="28" customWidth="1"/>
    <col min="3" max="3" width="16" customWidth="1"/>
    <col min="4" max="4" width="20" customWidth="1"/>
    <col min="5" max="5" width="16" customWidth="1"/>
    <col min="6" max="6" width="18" customWidth="1"/>
    <col min="7" max="7" width="16" customWidth="1"/>
    <col min="8" max="8" width="24" customWidth="1"/>
  </cols>
  <sheetData>
    <row r="1" spans="1:8" ht="21.75" customHeight="1">
      <c r="A1" s="39" t="s">
        <v>81</v>
      </c>
    </row>
    <row r="2" spans="1:8" ht="15.75" customHeight="1"/>
    <row r="3" spans="1:8" ht="30" customHeight="1">
      <c r="A3" s="28" t="s">
        <v>82</v>
      </c>
      <c r="B3" s="28" t="s">
        <v>83</v>
      </c>
      <c r="C3" s="28" t="s">
        <v>84</v>
      </c>
      <c r="D3" s="28" t="s">
        <v>85</v>
      </c>
      <c r="E3" s="28" t="s">
        <v>86</v>
      </c>
      <c r="F3" s="28" t="s">
        <v>87</v>
      </c>
      <c r="G3" s="28" t="s">
        <v>40</v>
      </c>
      <c r="H3" s="28" t="s">
        <v>41</v>
      </c>
    </row>
    <row r="4" spans="1:8" ht="19.5" customHeight="1">
      <c r="A4" s="54" t="s">
        <v>88</v>
      </c>
      <c r="B4" s="55" t="s">
        <v>89</v>
      </c>
      <c r="C4" s="55" t="s">
        <v>90</v>
      </c>
      <c r="D4" s="54" t="s">
        <v>91</v>
      </c>
      <c r="E4" s="55" t="s">
        <v>92</v>
      </c>
      <c r="F4" s="55">
        <v>80000</v>
      </c>
      <c r="G4" s="55" t="s">
        <v>48</v>
      </c>
      <c r="H4" s="55"/>
    </row>
    <row r="5" spans="1:8" ht="19.5" customHeight="1">
      <c r="A5" s="54" t="s">
        <v>93</v>
      </c>
      <c r="B5" s="55" t="s">
        <v>94</v>
      </c>
      <c r="C5" s="55"/>
      <c r="D5" s="54" t="s">
        <v>95</v>
      </c>
      <c r="E5" s="55" t="s">
        <v>96</v>
      </c>
      <c r="F5" s="55">
        <v>5500</v>
      </c>
      <c r="G5" s="55" t="s">
        <v>97</v>
      </c>
      <c r="H5" s="55"/>
    </row>
    <row r="6" spans="1:8" ht="19.5" customHeight="1">
      <c r="A6" s="54" t="s">
        <v>98</v>
      </c>
      <c r="B6" s="55" t="s">
        <v>99</v>
      </c>
      <c r="C6" s="55" t="s">
        <v>100</v>
      </c>
      <c r="D6" s="54" t="s">
        <v>101</v>
      </c>
      <c r="E6" s="55" t="s">
        <v>102</v>
      </c>
      <c r="F6" s="55"/>
      <c r="G6" s="55" t="s">
        <v>103</v>
      </c>
      <c r="H6" s="55"/>
    </row>
    <row r="7" spans="1:8" ht="19.5" customHeight="1">
      <c r="A7" s="56"/>
      <c r="B7" s="56"/>
      <c r="C7" s="56"/>
      <c r="D7" s="56"/>
      <c r="E7" s="56"/>
      <c r="F7" s="56"/>
      <c r="G7" s="56"/>
      <c r="H7" s="56"/>
    </row>
    <row r="8" spans="1:8" ht="19.5" customHeight="1">
      <c r="A8" s="56"/>
      <c r="B8" s="56"/>
      <c r="C8" s="56"/>
      <c r="D8" s="56"/>
      <c r="E8" s="56"/>
      <c r="F8" s="56"/>
      <c r="G8" s="56"/>
      <c r="H8" s="56"/>
    </row>
    <row r="9" spans="1:8" ht="19.5" customHeight="1">
      <c r="A9" s="56"/>
      <c r="B9" s="56"/>
      <c r="C9" s="56"/>
      <c r="D9" s="56"/>
      <c r="E9" s="56"/>
      <c r="F9" s="56"/>
      <c r="G9" s="56"/>
      <c r="H9" s="56"/>
    </row>
    <row r="10" spans="1:8" ht="19.5" customHeight="1">
      <c r="A10" s="56"/>
      <c r="B10" s="56"/>
      <c r="C10" s="56"/>
      <c r="D10" s="56"/>
      <c r="E10" s="56"/>
      <c r="F10" s="56"/>
      <c r="G10" s="56"/>
      <c r="H10" s="56"/>
    </row>
    <row r="11" spans="1:8" ht="19.5" customHeight="1">
      <c r="A11" s="56"/>
      <c r="B11" s="56"/>
      <c r="C11" s="56"/>
      <c r="D11" s="56"/>
      <c r="E11" s="56"/>
      <c r="F11" s="56"/>
      <c r="G11" s="56"/>
      <c r="H11" s="56"/>
    </row>
    <row r="12" spans="1:8" ht="19.5" customHeight="1">
      <c r="A12" s="56"/>
      <c r="B12" s="56"/>
      <c r="C12" s="56"/>
      <c r="D12" s="56"/>
      <c r="E12" s="56"/>
      <c r="F12" s="56"/>
      <c r="G12" s="56"/>
      <c r="H12" s="56"/>
    </row>
    <row r="13" spans="1:8" ht="19.5" customHeight="1">
      <c r="A13" s="56"/>
      <c r="B13" s="56"/>
      <c r="C13" s="56"/>
      <c r="D13" s="56"/>
      <c r="E13" s="56"/>
      <c r="F13" s="56"/>
      <c r="G13" s="56"/>
      <c r="H13" s="56"/>
    </row>
    <row r="14" spans="1:8" ht="19.5" customHeight="1">
      <c r="A14" s="56"/>
      <c r="B14" s="56"/>
      <c r="C14" s="56"/>
      <c r="D14" s="56"/>
      <c r="E14" s="56"/>
      <c r="F14" s="56"/>
      <c r="G14" s="56"/>
      <c r="H14" s="56"/>
    </row>
    <row r="15" spans="1:8" ht="19.5" customHeight="1">
      <c r="A15" s="56"/>
      <c r="B15" s="56"/>
      <c r="C15" s="56"/>
      <c r="D15" s="56"/>
      <c r="E15" s="56"/>
      <c r="F15" s="56"/>
      <c r="G15" s="56"/>
      <c r="H15" s="56"/>
    </row>
    <row r="16" spans="1:8" ht="19.5" customHeight="1">
      <c r="A16" s="56"/>
      <c r="B16" s="56"/>
      <c r="C16" s="56"/>
      <c r="D16" s="56"/>
      <c r="E16" s="56"/>
      <c r="F16" s="56"/>
      <c r="G16" s="56"/>
      <c r="H16" s="56"/>
    </row>
    <row r="17" spans="1:8" ht="19.5" customHeight="1">
      <c r="A17" s="56"/>
      <c r="B17" s="56"/>
      <c r="C17" s="56"/>
      <c r="D17" s="56"/>
      <c r="E17" s="56"/>
      <c r="F17" s="56"/>
      <c r="G17" s="56"/>
      <c r="H17" s="56"/>
    </row>
    <row r="18" spans="1:8" ht="19.5" customHeight="1">
      <c r="A18" s="56"/>
      <c r="B18" s="56"/>
      <c r="C18" s="56"/>
      <c r="D18" s="56"/>
      <c r="E18" s="56"/>
      <c r="F18" s="56"/>
      <c r="G18" s="56"/>
      <c r="H18" s="56"/>
    </row>
    <row r="19" spans="1:8" ht="19.5" customHeight="1">
      <c r="A19" s="56"/>
      <c r="B19" s="56"/>
      <c r="C19" s="56"/>
      <c r="D19" s="56"/>
      <c r="E19" s="56"/>
      <c r="F19" s="56"/>
      <c r="G19" s="56"/>
      <c r="H19" s="56"/>
    </row>
    <row r="20" spans="1:8" ht="19.5" customHeight="1">
      <c r="A20" s="56"/>
      <c r="B20" s="56"/>
      <c r="C20" s="56"/>
      <c r="D20" s="56"/>
      <c r="E20" s="56"/>
      <c r="F20" s="56"/>
      <c r="G20" s="56"/>
      <c r="H20" s="56"/>
    </row>
    <row r="21" spans="1:8" ht="19.5" customHeight="1">
      <c r="A21" s="56"/>
      <c r="B21" s="56"/>
      <c r="C21" s="56"/>
      <c r="D21" s="56"/>
      <c r="E21" s="56"/>
      <c r="F21" s="56"/>
      <c r="G21" s="56"/>
      <c r="H21" s="56"/>
    </row>
    <row r="22" spans="1:8" ht="19.5" customHeight="1">
      <c r="A22" s="56"/>
      <c r="B22" s="56"/>
      <c r="C22" s="56"/>
      <c r="D22" s="56"/>
      <c r="E22" s="56"/>
      <c r="F22" s="56"/>
      <c r="G22" s="56"/>
      <c r="H22" s="56"/>
    </row>
    <row r="23" spans="1:8" ht="19.5" customHeight="1">
      <c r="A23" s="56"/>
      <c r="B23" s="56"/>
      <c r="C23" s="56"/>
      <c r="D23" s="56"/>
      <c r="E23" s="56"/>
      <c r="F23" s="56"/>
      <c r="G23" s="56"/>
      <c r="H23" s="56"/>
    </row>
    <row r="24" spans="1:8" ht="19.5" customHeight="1">
      <c r="A24" s="56"/>
      <c r="B24" s="56"/>
      <c r="C24" s="56"/>
      <c r="D24" s="56"/>
      <c r="E24" s="56"/>
      <c r="F24" s="56"/>
      <c r="G24" s="56"/>
      <c r="H24" s="56"/>
    </row>
    <row r="25" spans="1:8" ht="19.5" customHeight="1">
      <c r="A25" s="56"/>
      <c r="B25" s="56"/>
      <c r="C25" s="56"/>
      <c r="D25" s="56"/>
      <c r="E25" s="56"/>
      <c r="F25" s="56"/>
      <c r="G25" s="56"/>
      <c r="H25" s="56"/>
    </row>
    <row r="26" spans="1:8" ht="19.5" customHeight="1">
      <c r="A26" s="56"/>
      <c r="B26" s="56"/>
      <c r="C26" s="56"/>
      <c r="D26" s="56"/>
      <c r="E26" s="56"/>
      <c r="F26" s="56"/>
      <c r="G26" s="56"/>
      <c r="H26" s="56"/>
    </row>
    <row r="27" spans="1:8" ht="19.5" customHeight="1">
      <c r="A27" s="56"/>
      <c r="B27" s="56"/>
      <c r="C27" s="56"/>
      <c r="D27" s="56"/>
      <c r="E27" s="56"/>
      <c r="F27" s="56"/>
      <c r="G27" s="56"/>
      <c r="H27" s="56"/>
    </row>
    <row r="28" spans="1:8" ht="19.5" customHeight="1">
      <c r="A28" s="56"/>
      <c r="B28" s="56"/>
      <c r="C28" s="56"/>
      <c r="D28" s="56"/>
      <c r="E28" s="56"/>
      <c r="F28" s="56"/>
      <c r="G28" s="56"/>
      <c r="H28" s="56"/>
    </row>
    <row r="29" spans="1:8" ht="19.5" customHeight="1">
      <c r="A29" s="56"/>
      <c r="B29" s="56"/>
      <c r="C29" s="56"/>
      <c r="D29" s="56"/>
      <c r="E29" s="56"/>
      <c r="F29" s="56"/>
      <c r="G29" s="56"/>
      <c r="H29" s="56"/>
    </row>
    <row r="30" spans="1:8" ht="19.5" customHeight="1">
      <c r="A30" s="56"/>
      <c r="B30" s="56"/>
      <c r="C30" s="56"/>
      <c r="D30" s="56"/>
      <c r="E30" s="56"/>
      <c r="F30" s="56"/>
      <c r="G30" s="56"/>
      <c r="H30" s="56"/>
    </row>
    <row r="31" spans="1:8" ht="19.5" customHeight="1">
      <c r="A31" s="56"/>
      <c r="B31" s="56"/>
      <c r="C31" s="56"/>
      <c r="D31" s="56"/>
      <c r="E31" s="56"/>
      <c r="F31" s="56"/>
      <c r="G31" s="56"/>
      <c r="H31" s="56"/>
    </row>
    <row r="32" spans="1:8" ht="19.5" customHeight="1">
      <c r="A32" s="56"/>
      <c r="B32" s="56"/>
      <c r="C32" s="56"/>
      <c r="D32" s="56"/>
      <c r="E32" s="56"/>
      <c r="F32" s="56"/>
      <c r="G32" s="56"/>
      <c r="H32" s="56"/>
    </row>
    <row r="33" spans="1:8" ht="19.5" customHeight="1">
      <c r="A33" s="56"/>
      <c r="B33" s="56"/>
      <c r="C33" s="56"/>
      <c r="D33" s="56"/>
      <c r="E33" s="56"/>
      <c r="F33" s="56"/>
      <c r="G33" s="56"/>
      <c r="H33" s="56"/>
    </row>
    <row r="34" spans="1:8" ht="19.5" customHeight="1">
      <c r="A34" s="56"/>
      <c r="B34" s="56"/>
      <c r="C34" s="56"/>
      <c r="D34" s="56"/>
      <c r="E34" s="56"/>
      <c r="F34" s="56"/>
      <c r="G34" s="56"/>
      <c r="H34" s="56"/>
    </row>
    <row r="35" spans="1:8" ht="19.5" customHeight="1">
      <c r="A35" s="56"/>
      <c r="B35" s="56"/>
      <c r="C35" s="56"/>
      <c r="D35" s="56"/>
      <c r="E35" s="56"/>
      <c r="F35" s="56"/>
      <c r="G35" s="56"/>
      <c r="H35" s="56"/>
    </row>
    <row r="36" spans="1:8" ht="19.5" customHeight="1">
      <c r="A36" s="56"/>
      <c r="B36" s="56"/>
      <c r="C36" s="56"/>
      <c r="D36" s="56"/>
      <c r="E36" s="56"/>
      <c r="F36" s="56"/>
      <c r="G36" s="56"/>
      <c r="H36" s="56"/>
    </row>
    <row r="37" spans="1:8" ht="19.5" customHeight="1"/>
    <row r="38" spans="1:8" ht="19.5" customHeight="1"/>
    <row r="39" spans="1:8" ht="19.5" customHeight="1"/>
    <row r="40" spans="1:8" ht="19.5" customHeight="1"/>
    <row r="41" spans="1:8" ht="19.5" customHeight="1"/>
    <row r="42" spans="1:8" ht="19.5" customHeight="1"/>
    <row r="43" spans="1:8" ht="19.5" customHeight="1"/>
    <row r="44" spans="1:8" ht="19.5" customHeight="1"/>
    <row r="45" spans="1:8" ht="19.5" customHeight="1"/>
    <row r="46" spans="1:8" ht="19.5" customHeight="1"/>
    <row r="47" spans="1:8" ht="19.5" customHeight="1"/>
    <row r="48" spans="1: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phoneticPr fontId="43"/>
  <dataValidations count="2">
    <dataValidation type="list" allowBlank="1" sqref="E4:E36" xr:uid="{00000000-0002-0000-0300-000000000000}">
      <formula1>"月末払い,月次払い,四半期払い,年払い,都度払い"</formula1>
      <formula2>0</formula2>
    </dataValidation>
    <dataValidation type="list" allowBlank="1" sqref="G4:G36" xr:uid="{00000000-0002-0000-0300-000001000000}">
      <formula1>"売上,仕入,交通費,通信費,消耗品費,外注費,地代家賃,広告宣伝費,水道光熱費,雑費"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559A"/>
  </sheetPr>
  <dimension ref="A1:G59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/>
  <cols>
    <col min="1" max="1" width="12" customWidth="1"/>
    <col min="2" max="2" width="28" customWidth="1"/>
    <col min="3" max="5" width="16" customWidth="1"/>
    <col min="6" max="6" width="14" customWidth="1"/>
    <col min="7" max="7" width="24" customWidth="1"/>
  </cols>
  <sheetData>
    <row r="1" spans="1:7" ht="21.75" customHeight="1">
      <c r="A1" s="39" t="s">
        <v>104</v>
      </c>
    </row>
    <row r="2" spans="1:7" ht="15.75" customHeight="1">
      <c r="A2" s="27" t="s">
        <v>105</v>
      </c>
    </row>
    <row r="3" spans="1:7" ht="30" customHeight="1">
      <c r="A3" s="28" t="s">
        <v>106</v>
      </c>
      <c r="B3" s="28" t="s">
        <v>83</v>
      </c>
      <c r="C3" s="28" t="s">
        <v>40</v>
      </c>
      <c r="D3" s="28" t="s">
        <v>107</v>
      </c>
      <c r="E3" s="28" t="s">
        <v>108</v>
      </c>
      <c r="F3" s="28" t="s">
        <v>109</v>
      </c>
      <c r="G3" s="28" t="s">
        <v>41</v>
      </c>
    </row>
    <row r="4" spans="1:7" ht="19.5" customHeight="1">
      <c r="A4" s="57"/>
      <c r="B4" s="56"/>
      <c r="C4" s="58" t="str">
        <f>IFERROR(VLOOKUP(B4,③取引先マスタ!$B$4:$G$53,6,0),"")</f>
        <v/>
      </c>
      <c r="D4" s="59" t="str">
        <f>IFERROR(VLOOKUP(B4,③取引先マスタ!$B$4:$F$53,5,0),"")</f>
        <v/>
      </c>
      <c r="E4" s="60"/>
      <c r="F4" s="61"/>
      <c r="G4" s="56"/>
    </row>
    <row r="5" spans="1:7" ht="19.5" customHeight="1">
      <c r="A5" s="57"/>
      <c r="B5" s="56"/>
      <c r="C5" s="58" t="str">
        <f>IFERROR(VLOOKUP(B5,③取引先マスタ!$B$4:$G$53,6,0),"")</f>
        <v/>
      </c>
      <c r="D5" s="59" t="str">
        <f>IFERROR(VLOOKUP(B5,③取引先マスタ!$B$4:$F$53,5,0),"")</f>
        <v/>
      </c>
      <c r="E5" s="60"/>
      <c r="F5" s="61"/>
      <c r="G5" s="56"/>
    </row>
    <row r="6" spans="1:7" ht="19.5" customHeight="1">
      <c r="A6" s="57"/>
      <c r="B6" s="56"/>
      <c r="C6" s="58" t="str">
        <f>IFERROR(VLOOKUP(B6,③取引先マスタ!$B$4:$G$53,6,0),"")</f>
        <v/>
      </c>
      <c r="D6" s="59" t="str">
        <f>IFERROR(VLOOKUP(B6,③取引先マスタ!$B$4:$F$53,5,0),"")</f>
        <v/>
      </c>
      <c r="E6" s="60"/>
      <c r="F6" s="61"/>
      <c r="G6" s="56"/>
    </row>
    <row r="7" spans="1:7" ht="19.5" customHeight="1">
      <c r="A7" s="57"/>
      <c r="B7" s="56"/>
      <c r="C7" s="58" t="str">
        <f>IFERROR(VLOOKUP(B7,③取引先マスタ!$B$4:$G$53,6,0),"")</f>
        <v/>
      </c>
      <c r="D7" s="59" t="str">
        <f>IFERROR(VLOOKUP(B7,③取引先マスタ!$B$4:$F$53,5,0),"")</f>
        <v/>
      </c>
      <c r="E7" s="60"/>
      <c r="F7" s="61"/>
      <c r="G7" s="56"/>
    </row>
    <row r="8" spans="1:7" ht="19.5" customHeight="1">
      <c r="A8" s="57"/>
      <c r="B8" s="56"/>
      <c r="C8" s="58" t="str">
        <f>IFERROR(VLOOKUP(B8,③取引先マスタ!$B$4:$G$53,6,0),"")</f>
        <v/>
      </c>
      <c r="D8" s="59" t="str">
        <f>IFERROR(VLOOKUP(B8,③取引先マスタ!$B$4:$F$53,5,0),"")</f>
        <v/>
      </c>
      <c r="E8" s="60"/>
      <c r="F8" s="61"/>
      <c r="G8" s="56"/>
    </row>
    <row r="9" spans="1:7" ht="19.5" customHeight="1">
      <c r="A9" s="57"/>
      <c r="B9" s="56"/>
      <c r="C9" s="58" t="str">
        <f>IFERROR(VLOOKUP(B9,③取引先マスタ!$B$4:$G$53,6,0),"")</f>
        <v/>
      </c>
      <c r="D9" s="59" t="str">
        <f>IFERROR(VLOOKUP(B9,③取引先マスタ!$B$4:$F$53,5,0),"")</f>
        <v/>
      </c>
      <c r="E9" s="60"/>
      <c r="F9" s="61"/>
      <c r="G9" s="56"/>
    </row>
    <row r="10" spans="1:7" ht="19.5" customHeight="1">
      <c r="A10" s="57"/>
      <c r="B10" s="56"/>
      <c r="C10" s="58" t="str">
        <f>IFERROR(VLOOKUP(B10,③取引先マスタ!$B$4:$G$53,6,0),"")</f>
        <v/>
      </c>
      <c r="D10" s="59" t="str">
        <f>IFERROR(VLOOKUP(B10,③取引先マスタ!$B$4:$F$53,5,0),"")</f>
        <v/>
      </c>
      <c r="E10" s="60"/>
      <c r="F10" s="61"/>
      <c r="G10" s="56"/>
    </row>
    <row r="11" spans="1:7" ht="19.5" customHeight="1">
      <c r="A11" s="57"/>
      <c r="B11" s="56"/>
      <c r="C11" s="58" t="str">
        <f>IFERROR(VLOOKUP(B11,③取引先マスタ!$B$4:$G$53,6,0),"")</f>
        <v/>
      </c>
      <c r="D11" s="59" t="str">
        <f>IFERROR(VLOOKUP(B11,③取引先マスタ!$B$4:$F$53,5,0),"")</f>
        <v/>
      </c>
      <c r="E11" s="60"/>
      <c r="F11" s="61"/>
      <c r="G11" s="56"/>
    </row>
    <row r="12" spans="1:7" ht="19.5" customHeight="1">
      <c r="A12" s="57"/>
      <c r="B12" s="56"/>
      <c r="C12" s="58" t="str">
        <f>IFERROR(VLOOKUP(B12,③取引先マスタ!$B$4:$G$53,6,0),"")</f>
        <v/>
      </c>
      <c r="D12" s="59" t="str">
        <f>IFERROR(VLOOKUP(B12,③取引先マスタ!$B$4:$F$53,5,0),"")</f>
        <v/>
      </c>
      <c r="E12" s="60"/>
      <c r="F12" s="61"/>
      <c r="G12" s="56"/>
    </row>
    <row r="13" spans="1:7" ht="19.5" customHeight="1">
      <c r="A13" s="57"/>
      <c r="B13" s="56"/>
      <c r="C13" s="58" t="str">
        <f>IFERROR(VLOOKUP(B13,③取引先マスタ!$B$4:$G$53,6,0),"")</f>
        <v/>
      </c>
      <c r="D13" s="59" t="str">
        <f>IFERROR(VLOOKUP(B13,③取引先マスタ!$B$4:$F$53,5,0),"")</f>
        <v/>
      </c>
      <c r="E13" s="60"/>
      <c r="F13" s="61"/>
      <c r="G13" s="56"/>
    </row>
    <row r="14" spans="1:7" ht="19.5" customHeight="1">
      <c r="A14" s="57"/>
      <c r="B14" s="56"/>
      <c r="C14" s="58" t="str">
        <f>IFERROR(VLOOKUP(B14,③取引先マスタ!$B$4:$G$53,6,0),"")</f>
        <v/>
      </c>
      <c r="D14" s="59" t="str">
        <f>IFERROR(VLOOKUP(B14,③取引先マスタ!$B$4:$F$53,5,0),"")</f>
        <v/>
      </c>
      <c r="E14" s="60"/>
      <c r="F14" s="61"/>
      <c r="G14" s="56"/>
    </row>
    <row r="15" spans="1:7" ht="19.5" customHeight="1">
      <c r="A15" s="57"/>
      <c r="B15" s="56"/>
      <c r="C15" s="58" t="str">
        <f>IFERROR(VLOOKUP(B15,③取引先マスタ!$B$4:$G$53,6,0),"")</f>
        <v/>
      </c>
      <c r="D15" s="59" t="str">
        <f>IFERROR(VLOOKUP(B15,③取引先マスタ!$B$4:$F$53,5,0),"")</f>
        <v/>
      </c>
      <c r="E15" s="60"/>
      <c r="F15" s="61"/>
      <c r="G15" s="56"/>
    </row>
    <row r="16" spans="1:7" ht="19.5" customHeight="1">
      <c r="A16" s="57"/>
      <c r="B16" s="56"/>
      <c r="C16" s="58" t="str">
        <f>IFERROR(VLOOKUP(B16,③取引先マスタ!$B$4:$G$53,6,0),"")</f>
        <v/>
      </c>
      <c r="D16" s="59" t="str">
        <f>IFERROR(VLOOKUP(B16,③取引先マスタ!$B$4:$F$53,5,0),"")</f>
        <v/>
      </c>
      <c r="E16" s="60"/>
      <c r="F16" s="61"/>
      <c r="G16" s="56"/>
    </row>
    <row r="17" spans="1:7" ht="19.5" customHeight="1">
      <c r="A17" s="57"/>
      <c r="B17" s="56"/>
      <c r="C17" s="58" t="str">
        <f>IFERROR(VLOOKUP(B17,③取引先マスタ!$B$4:$G$53,6,0),"")</f>
        <v/>
      </c>
      <c r="D17" s="59" t="str">
        <f>IFERROR(VLOOKUP(B17,③取引先マスタ!$B$4:$F$53,5,0),"")</f>
        <v/>
      </c>
      <c r="E17" s="60"/>
      <c r="F17" s="61"/>
      <c r="G17" s="56"/>
    </row>
    <row r="18" spans="1:7" ht="19.5" customHeight="1">
      <c r="A18" s="57"/>
      <c r="B18" s="56"/>
      <c r="C18" s="58" t="str">
        <f>IFERROR(VLOOKUP(B18,③取引先マスタ!$B$4:$G$53,6,0),"")</f>
        <v/>
      </c>
      <c r="D18" s="59" t="str">
        <f>IFERROR(VLOOKUP(B18,③取引先マスタ!$B$4:$F$53,5,0),"")</f>
        <v/>
      </c>
      <c r="E18" s="60"/>
      <c r="F18" s="61"/>
      <c r="G18" s="56"/>
    </row>
    <row r="19" spans="1:7" ht="19.5" customHeight="1">
      <c r="A19" s="57"/>
      <c r="B19" s="56"/>
      <c r="C19" s="58" t="str">
        <f>IFERROR(VLOOKUP(B19,③取引先マスタ!$B$4:$G$53,6,0),"")</f>
        <v/>
      </c>
      <c r="D19" s="59" t="str">
        <f>IFERROR(VLOOKUP(B19,③取引先マスタ!$B$4:$F$53,5,0),"")</f>
        <v/>
      </c>
      <c r="E19" s="60"/>
      <c r="F19" s="61"/>
      <c r="G19" s="56"/>
    </row>
    <row r="20" spans="1:7" ht="19.5" customHeight="1">
      <c r="A20" s="57"/>
      <c r="B20" s="56"/>
      <c r="C20" s="58" t="str">
        <f>IFERROR(VLOOKUP(B20,③取引先マスタ!$B$4:$G$53,6,0),"")</f>
        <v/>
      </c>
      <c r="D20" s="59" t="str">
        <f>IFERROR(VLOOKUP(B20,③取引先マスタ!$B$4:$F$53,5,0),"")</f>
        <v/>
      </c>
      <c r="E20" s="60"/>
      <c r="F20" s="61"/>
      <c r="G20" s="56"/>
    </row>
    <row r="21" spans="1:7" ht="19.5" customHeight="1">
      <c r="A21" s="57"/>
      <c r="B21" s="56"/>
      <c r="C21" s="58" t="str">
        <f>IFERROR(VLOOKUP(B21,③取引先マスタ!$B$4:$G$53,6,0),"")</f>
        <v/>
      </c>
      <c r="D21" s="59" t="str">
        <f>IFERROR(VLOOKUP(B21,③取引先マスタ!$B$4:$F$53,5,0),"")</f>
        <v/>
      </c>
      <c r="E21" s="60"/>
      <c r="F21" s="61"/>
      <c r="G21" s="56"/>
    </row>
    <row r="22" spans="1:7" ht="19.5" customHeight="1">
      <c r="A22" s="57"/>
      <c r="B22" s="56"/>
      <c r="C22" s="58" t="str">
        <f>IFERROR(VLOOKUP(B22,③取引先マスタ!$B$4:$G$53,6,0),"")</f>
        <v/>
      </c>
      <c r="D22" s="59" t="str">
        <f>IFERROR(VLOOKUP(B22,③取引先マスタ!$B$4:$F$53,5,0),"")</f>
        <v/>
      </c>
      <c r="E22" s="60"/>
      <c r="F22" s="61"/>
      <c r="G22" s="56"/>
    </row>
    <row r="23" spans="1:7" ht="19.5" customHeight="1">
      <c r="A23" s="57"/>
      <c r="B23" s="56"/>
      <c r="C23" s="58" t="str">
        <f>IFERROR(VLOOKUP(B23,③取引先マスタ!$B$4:$G$53,6,0),"")</f>
        <v/>
      </c>
      <c r="D23" s="59" t="str">
        <f>IFERROR(VLOOKUP(B23,③取引先マスタ!$B$4:$F$53,5,0),"")</f>
        <v/>
      </c>
      <c r="E23" s="60"/>
      <c r="F23" s="61"/>
      <c r="G23" s="56"/>
    </row>
    <row r="24" spans="1:7" ht="19.5" customHeight="1">
      <c r="A24" s="57"/>
      <c r="B24" s="56"/>
      <c r="C24" s="58" t="str">
        <f>IFERROR(VLOOKUP(B24,③取引先マスタ!$B$4:$G$53,6,0),"")</f>
        <v/>
      </c>
      <c r="D24" s="59" t="str">
        <f>IFERROR(VLOOKUP(B24,③取引先マスタ!$B$4:$F$53,5,0),"")</f>
        <v/>
      </c>
      <c r="E24" s="60"/>
      <c r="F24" s="61"/>
      <c r="G24" s="56"/>
    </row>
    <row r="25" spans="1:7" ht="19.5" customHeight="1">
      <c r="A25" s="57"/>
      <c r="B25" s="56"/>
      <c r="C25" s="58" t="str">
        <f>IFERROR(VLOOKUP(B25,③取引先マスタ!$B$4:$G$53,6,0),"")</f>
        <v/>
      </c>
      <c r="D25" s="59" t="str">
        <f>IFERROR(VLOOKUP(B25,③取引先マスタ!$B$4:$F$53,5,0),"")</f>
        <v/>
      </c>
      <c r="E25" s="60"/>
      <c r="F25" s="61"/>
      <c r="G25" s="56"/>
    </row>
    <row r="26" spans="1:7" ht="19.5" customHeight="1">
      <c r="A26" s="57"/>
      <c r="B26" s="56"/>
      <c r="C26" s="58" t="str">
        <f>IFERROR(VLOOKUP(B26,③取引先マスタ!$B$4:$G$53,6,0),"")</f>
        <v/>
      </c>
      <c r="D26" s="59" t="str">
        <f>IFERROR(VLOOKUP(B26,③取引先マスタ!$B$4:$F$53,5,0),"")</f>
        <v/>
      </c>
      <c r="E26" s="60"/>
      <c r="F26" s="61"/>
      <c r="G26" s="56"/>
    </row>
    <row r="27" spans="1:7" ht="19.5" customHeight="1">
      <c r="A27" s="57"/>
      <c r="B27" s="56"/>
      <c r="C27" s="58" t="str">
        <f>IFERROR(VLOOKUP(B27,③取引先マスタ!$B$4:$G$53,6,0),"")</f>
        <v/>
      </c>
      <c r="D27" s="59" t="str">
        <f>IFERROR(VLOOKUP(B27,③取引先マスタ!$B$4:$F$53,5,0),"")</f>
        <v/>
      </c>
      <c r="E27" s="60"/>
      <c r="F27" s="61"/>
      <c r="G27" s="56"/>
    </row>
    <row r="28" spans="1:7" ht="19.5" customHeight="1">
      <c r="A28" s="57"/>
      <c r="B28" s="56"/>
      <c r="C28" s="58" t="str">
        <f>IFERROR(VLOOKUP(B28,③取引先マスタ!$B$4:$G$53,6,0),"")</f>
        <v/>
      </c>
      <c r="D28" s="59" t="str">
        <f>IFERROR(VLOOKUP(B28,③取引先マスタ!$B$4:$F$53,5,0),"")</f>
        <v/>
      </c>
      <c r="E28" s="60"/>
      <c r="F28" s="61"/>
      <c r="G28" s="56"/>
    </row>
    <row r="29" spans="1:7" ht="19.5" customHeight="1">
      <c r="A29" s="57"/>
      <c r="B29" s="56"/>
      <c r="C29" s="58" t="str">
        <f>IFERROR(VLOOKUP(B29,③取引先マスタ!$B$4:$G$53,6,0),"")</f>
        <v/>
      </c>
      <c r="D29" s="59" t="str">
        <f>IFERROR(VLOOKUP(B29,③取引先マスタ!$B$4:$F$53,5,0),"")</f>
        <v/>
      </c>
      <c r="E29" s="60"/>
      <c r="F29" s="61"/>
      <c r="G29" s="56"/>
    </row>
    <row r="30" spans="1:7" ht="19.5" customHeight="1">
      <c r="A30" s="57"/>
      <c r="B30" s="56"/>
      <c r="C30" s="58" t="str">
        <f>IFERROR(VLOOKUP(B30,③取引先マスタ!$B$4:$G$53,6,0),"")</f>
        <v/>
      </c>
      <c r="D30" s="59" t="str">
        <f>IFERROR(VLOOKUP(B30,③取引先マスタ!$B$4:$F$53,5,0),"")</f>
        <v/>
      </c>
      <c r="E30" s="60"/>
      <c r="F30" s="61"/>
      <c r="G30" s="56"/>
    </row>
    <row r="31" spans="1:7" ht="19.5" customHeight="1">
      <c r="A31" s="57"/>
      <c r="B31" s="56"/>
      <c r="C31" s="58" t="str">
        <f>IFERROR(VLOOKUP(B31,③取引先マスタ!$B$4:$G$53,6,0),"")</f>
        <v/>
      </c>
      <c r="D31" s="59" t="str">
        <f>IFERROR(VLOOKUP(B31,③取引先マスタ!$B$4:$F$53,5,0),"")</f>
        <v/>
      </c>
      <c r="E31" s="60"/>
      <c r="F31" s="61"/>
      <c r="G31" s="56"/>
    </row>
    <row r="32" spans="1:7" ht="19.5" customHeight="1">
      <c r="A32" s="57"/>
      <c r="B32" s="56"/>
      <c r="C32" s="58" t="str">
        <f>IFERROR(VLOOKUP(B32,③取引先マスタ!$B$4:$G$53,6,0),"")</f>
        <v/>
      </c>
      <c r="D32" s="59" t="str">
        <f>IFERROR(VLOOKUP(B32,③取引先マスタ!$B$4:$F$53,5,0),"")</f>
        <v/>
      </c>
      <c r="E32" s="60"/>
      <c r="F32" s="61"/>
      <c r="G32" s="56"/>
    </row>
    <row r="33" spans="1:7" ht="19.5" customHeight="1">
      <c r="A33" s="57"/>
      <c r="B33" s="56"/>
      <c r="C33" s="58" t="str">
        <f>IFERROR(VLOOKUP(B33,③取引先マスタ!$B$4:$G$53,6,0),"")</f>
        <v/>
      </c>
      <c r="D33" s="59" t="str">
        <f>IFERROR(VLOOKUP(B33,③取引先マスタ!$B$4:$F$53,5,0),"")</f>
        <v/>
      </c>
      <c r="E33" s="60"/>
      <c r="F33" s="61"/>
      <c r="G33" s="56"/>
    </row>
    <row r="34" spans="1:7" ht="19.5" customHeight="1">
      <c r="A34" s="57"/>
      <c r="B34" s="56"/>
      <c r="C34" s="58" t="str">
        <f>IFERROR(VLOOKUP(B34,③取引先マスタ!$B$4:$G$53,6,0),"")</f>
        <v/>
      </c>
      <c r="D34" s="59" t="str">
        <f>IFERROR(VLOOKUP(B34,③取引先マスタ!$B$4:$F$53,5,0),"")</f>
        <v/>
      </c>
      <c r="E34" s="60"/>
      <c r="F34" s="61"/>
      <c r="G34" s="56"/>
    </row>
    <row r="35" spans="1:7" ht="19.5" customHeight="1">
      <c r="A35" s="57"/>
      <c r="B35" s="56"/>
      <c r="C35" s="58" t="str">
        <f>IFERROR(VLOOKUP(B35,③取引先マスタ!$B$4:$G$53,6,0),"")</f>
        <v/>
      </c>
      <c r="D35" s="59" t="str">
        <f>IFERROR(VLOOKUP(B35,③取引先マスタ!$B$4:$F$53,5,0),"")</f>
        <v/>
      </c>
      <c r="E35" s="60"/>
      <c r="F35" s="61"/>
      <c r="G35" s="56"/>
    </row>
    <row r="36" spans="1:7" ht="19.5" customHeight="1">
      <c r="A36" s="57"/>
      <c r="B36" s="56"/>
      <c r="C36" s="58" t="str">
        <f>IFERROR(VLOOKUP(B36,③取引先マスタ!$B$4:$G$53,6,0),"")</f>
        <v/>
      </c>
      <c r="D36" s="59" t="str">
        <f>IFERROR(VLOOKUP(B36,③取引先マスタ!$B$4:$F$53,5,0),"")</f>
        <v/>
      </c>
      <c r="E36" s="60"/>
      <c r="F36" s="61"/>
      <c r="G36" s="56"/>
    </row>
    <row r="37" spans="1:7" ht="19.5" customHeight="1">
      <c r="A37" s="57"/>
      <c r="B37" s="56"/>
      <c r="C37" s="58" t="str">
        <f>IFERROR(VLOOKUP(B37,③取引先マスタ!$B$4:$G$53,6,0),"")</f>
        <v/>
      </c>
      <c r="D37" s="59" t="str">
        <f>IFERROR(VLOOKUP(B37,③取引先マスタ!$B$4:$F$53,5,0),"")</f>
        <v/>
      </c>
      <c r="E37" s="60"/>
      <c r="F37" s="61"/>
      <c r="G37" s="56"/>
    </row>
    <row r="38" spans="1:7" ht="19.5" customHeight="1">
      <c r="A38" s="57"/>
      <c r="B38" s="56"/>
      <c r="C38" s="58" t="str">
        <f>IFERROR(VLOOKUP(B38,③取引先マスタ!$B$4:$G$53,6,0),"")</f>
        <v/>
      </c>
      <c r="D38" s="59" t="str">
        <f>IFERROR(VLOOKUP(B38,③取引先マスタ!$B$4:$F$53,5,0),"")</f>
        <v/>
      </c>
      <c r="E38" s="60"/>
      <c r="F38" s="61"/>
      <c r="G38" s="56"/>
    </row>
    <row r="39" spans="1:7" ht="19.5" customHeight="1">
      <c r="A39" s="57"/>
      <c r="B39" s="56"/>
      <c r="C39" s="58" t="str">
        <f>IFERROR(VLOOKUP(B39,③取引先マスタ!$B$4:$G$53,6,0),"")</f>
        <v/>
      </c>
      <c r="D39" s="59" t="str">
        <f>IFERROR(VLOOKUP(B39,③取引先マスタ!$B$4:$F$53,5,0),"")</f>
        <v/>
      </c>
      <c r="E39" s="60"/>
      <c r="F39" s="61"/>
      <c r="G39" s="56"/>
    </row>
    <row r="40" spans="1:7" ht="19.5" customHeight="1">
      <c r="A40" s="57"/>
      <c r="B40" s="56"/>
      <c r="C40" s="58" t="str">
        <f>IFERROR(VLOOKUP(B40,③取引先マスタ!$B$4:$G$53,6,0),"")</f>
        <v/>
      </c>
      <c r="D40" s="59" t="str">
        <f>IFERROR(VLOOKUP(B40,③取引先マスタ!$B$4:$F$53,5,0),"")</f>
        <v/>
      </c>
      <c r="E40" s="60"/>
      <c r="F40" s="61"/>
      <c r="G40" s="56"/>
    </row>
    <row r="41" spans="1:7" ht="19.5" customHeight="1">
      <c r="A41" s="57"/>
      <c r="B41" s="56"/>
      <c r="C41" s="58" t="str">
        <f>IFERROR(VLOOKUP(B41,③取引先マスタ!$B$4:$G$53,6,0),"")</f>
        <v/>
      </c>
      <c r="D41" s="59" t="str">
        <f>IFERROR(VLOOKUP(B41,③取引先マスタ!$B$4:$F$53,5,0),"")</f>
        <v/>
      </c>
      <c r="E41" s="60"/>
      <c r="F41" s="61"/>
      <c r="G41" s="56"/>
    </row>
    <row r="42" spans="1:7" ht="19.5" customHeight="1">
      <c r="A42" s="57"/>
      <c r="B42" s="56"/>
      <c r="C42" s="58" t="str">
        <f>IFERROR(VLOOKUP(B42,③取引先マスタ!$B$4:$G$53,6,0),"")</f>
        <v/>
      </c>
      <c r="D42" s="59" t="str">
        <f>IFERROR(VLOOKUP(B42,③取引先マスタ!$B$4:$F$53,5,0),"")</f>
        <v/>
      </c>
      <c r="E42" s="60"/>
      <c r="F42" s="61"/>
      <c r="G42" s="56"/>
    </row>
    <row r="43" spans="1:7" ht="19.5" customHeight="1">
      <c r="A43" s="57"/>
      <c r="B43" s="56"/>
      <c r="C43" s="58" t="str">
        <f>IFERROR(VLOOKUP(B43,③取引先マスタ!$B$4:$G$53,6,0),"")</f>
        <v/>
      </c>
      <c r="D43" s="59" t="str">
        <f>IFERROR(VLOOKUP(B43,③取引先マスタ!$B$4:$F$53,5,0),"")</f>
        <v/>
      </c>
      <c r="E43" s="60"/>
      <c r="F43" s="61"/>
      <c r="G43" s="56"/>
    </row>
    <row r="44" spans="1:7" ht="19.5" customHeight="1">
      <c r="A44" s="57"/>
      <c r="B44" s="56"/>
      <c r="C44" s="58" t="str">
        <f>IFERROR(VLOOKUP(B44,③取引先マスタ!$B$4:$G$53,6,0),"")</f>
        <v/>
      </c>
      <c r="D44" s="59" t="str">
        <f>IFERROR(VLOOKUP(B44,③取引先マスタ!$B$4:$F$53,5,0),"")</f>
        <v/>
      </c>
      <c r="E44" s="60"/>
      <c r="F44" s="61"/>
      <c r="G44" s="56"/>
    </row>
    <row r="45" spans="1:7" ht="19.5" customHeight="1">
      <c r="A45" s="57"/>
      <c r="B45" s="56"/>
      <c r="C45" s="58" t="str">
        <f>IFERROR(VLOOKUP(B45,③取引先マスタ!$B$4:$G$53,6,0),"")</f>
        <v/>
      </c>
      <c r="D45" s="59" t="str">
        <f>IFERROR(VLOOKUP(B45,③取引先マスタ!$B$4:$F$53,5,0),"")</f>
        <v/>
      </c>
      <c r="E45" s="60"/>
      <c r="F45" s="61"/>
      <c r="G45" s="56"/>
    </row>
    <row r="46" spans="1:7" ht="19.5" customHeight="1">
      <c r="A46" s="57"/>
      <c r="B46" s="56"/>
      <c r="C46" s="58" t="str">
        <f>IFERROR(VLOOKUP(B46,③取引先マスタ!$B$4:$G$53,6,0),"")</f>
        <v/>
      </c>
      <c r="D46" s="59" t="str">
        <f>IFERROR(VLOOKUP(B46,③取引先マスタ!$B$4:$F$53,5,0),"")</f>
        <v/>
      </c>
      <c r="E46" s="60"/>
      <c r="F46" s="61"/>
      <c r="G46" s="56"/>
    </row>
    <row r="47" spans="1:7" ht="19.5" customHeight="1">
      <c r="A47" s="57"/>
      <c r="B47" s="56"/>
      <c r="C47" s="58" t="str">
        <f>IFERROR(VLOOKUP(B47,③取引先マスタ!$B$4:$G$53,6,0),"")</f>
        <v/>
      </c>
      <c r="D47" s="59" t="str">
        <f>IFERROR(VLOOKUP(B47,③取引先マスタ!$B$4:$F$53,5,0),"")</f>
        <v/>
      </c>
      <c r="E47" s="60"/>
      <c r="F47" s="61"/>
      <c r="G47" s="56"/>
    </row>
    <row r="48" spans="1:7" ht="19.5" customHeight="1">
      <c r="A48" s="57"/>
      <c r="B48" s="56"/>
      <c r="C48" s="58" t="str">
        <f>IFERROR(VLOOKUP(B48,③取引先マスタ!$B$4:$G$53,6,0),"")</f>
        <v/>
      </c>
      <c r="D48" s="59" t="str">
        <f>IFERROR(VLOOKUP(B48,③取引先マスタ!$B$4:$F$53,5,0),"")</f>
        <v/>
      </c>
      <c r="E48" s="60"/>
      <c r="F48" s="61"/>
      <c r="G48" s="56"/>
    </row>
    <row r="49" spans="1:7" ht="19.5" customHeight="1">
      <c r="A49" s="57"/>
      <c r="B49" s="56"/>
      <c r="C49" s="58" t="str">
        <f>IFERROR(VLOOKUP(B49,③取引先マスタ!$B$4:$G$53,6,0),"")</f>
        <v/>
      </c>
      <c r="D49" s="59" t="str">
        <f>IFERROR(VLOOKUP(B49,③取引先マスタ!$B$4:$F$53,5,0),"")</f>
        <v/>
      </c>
      <c r="E49" s="60"/>
      <c r="F49" s="61"/>
      <c r="G49" s="56"/>
    </row>
    <row r="50" spans="1:7" ht="19.5" customHeight="1">
      <c r="A50" s="57"/>
      <c r="B50" s="56"/>
      <c r="C50" s="58" t="str">
        <f>IFERROR(VLOOKUP(B50,③取引先マスタ!$B$4:$G$53,6,0),"")</f>
        <v/>
      </c>
      <c r="D50" s="59" t="str">
        <f>IFERROR(VLOOKUP(B50,③取引先マスタ!$B$4:$F$53,5,0),"")</f>
        <v/>
      </c>
      <c r="E50" s="60"/>
      <c r="F50" s="61"/>
      <c r="G50" s="56"/>
    </row>
    <row r="51" spans="1:7" ht="19.5" customHeight="1">
      <c r="A51" s="57"/>
      <c r="B51" s="56"/>
      <c r="C51" s="58" t="str">
        <f>IFERROR(VLOOKUP(B51,③取引先マスタ!$B$4:$G$53,6,0),"")</f>
        <v/>
      </c>
      <c r="D51" s="59" t="str">
        <f>IFERROR(VLOOKUP(B51,③取引先マスタ!$B$4:$F$53,5,0),"")</f>
        <v/>
      </c>
      <c r="E51" s="60"/>
      <c r="F51" s="61"/>
      <c r="G51" s="56"/>
    </row>
    <row r="52" spans="1:7" ht="19.5" customHeight="1">
      <c r="A52" s="57"/>
      <c r="B52" s="56"/>
      <c r="C52" s="58" t="str">
        <f>IFERROR(VLOOKUP(B52,③取引先マスタ!$B$4:$G$53,6,0),"")</f>
        <v/>
      </c>
      <c r="D52" s="59" t="str">
        <f>IFERROR(VLOOKUP(B52,③取引先マスタ!$B$4:$F$53,5,0),"")</f>
        <v/>
      </c>
      <c r="E52" s="60"/>
      <c r="F52" s="61"/>
      <c r="G52" s="56"/>
    </row>
    <row r="53" spans="1:7" ht="19.5" customHeight="1">
      <c r="A53" s="57"/>
      <c r="B53" s="56"/>
      <c r="C53" s="58" t="str">
        <f>IFERROR(VLOOKUP(B53,③取引先マスタ!$B$4:$G$53,6,0),"")</f>
        <v/>
      </c>
      <c r="D53" s="59" t="str">
        <f>IFERROR(VLOOKUP(B53,③取引先マスタ!$B$4:$F$53,5,0),"")</f>
        <v/>
      </c>
      <c r="E53" s="60"/>
      <c r="F53" s="61"/>
      <c r="G53" s="56"/>
    </row>
    <row r="54" spans="1:7" ht="19.5" customHeight="1"/>
    <row r="55" spans="1:7" ht="19.5" customHeight="1"/>
    <row r="56" spans="1:7" ht="19.5" customHeight="1"/>
    <row r="57" spans="1:7" ht="19.5" customHeight="1"/>
    <row r="58" spans="1:7" ht="19.5" customHeight="1"/>
    <row r="59" spans="1:7" ht="19.5" customHeight="1"/>
  </sheetData>
  <phoneticPr fontId="43"/>
  <conditionalFormatting sqref="F4:F53">
    <cfRule type="cellIs" dxfId="3" priority="2" operator="equal">
      <formula>"済"</formula>
    </cfRule>
    <cfRule type="cellIs" dxfId="2" priority="3" operator="equal">
      <formula>"未払"</formula>
    </cfRule>
  </conditionalFormatting>
  <dataValidations count="1">
    <dataValidation type="list" allowBlank="1" sqref="F4:F53" xr:uid="{00000000-0002-0000-0400-000001000000}">
      <formula1>"済,未払,保留"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OFFSET(③取引先マスタ!$B$4,0,0,COUNTA(③取引先マスタ!$B$4:$B$53),1)</xm:f>
          </x14:formula1>
          <x14:formula2>
            <xm:f>0</xm:f>
          </x14:formula2>
          <xm:sqref>B4:B53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930"/>
    <pageSetUpPr fitToPage="1"/>
  </sheetPr>
  <dimension ref="A1:H31"/>
  <sheetViews>
    <sheetView zoomScaleNormal="100" workbookViewId="0"/>
  </sheetViews>
  <sheetFormatPr defaultColWidth="8.6328125" defaultRowHeight="14.5"/>
  <cols>
    <col min="1" max="1" width="4" customWidth="1"/>
    <col min="2" max="2" width="16" customWidth="1"/>
    <col min="3" max="3" width="20" customWidth="1"/>
    <col min="4" max="4" width="16" customWidth="1"/>
    <col min="5" max="5" width="10" customWidth="1"/>
    <col min="6" max="8" width="12" customWidth="1"/>
  </cols>
  <sheetData>
    <row r="1" spans="1:8" ht="7.5" customHeight="1"/>
    <row r="2" spans="1:8" ht="31.5" customHeight="1">
      <c r="A2" s="3" t="s">
        <v>110</v>
      </c>
      <c r="B2" s="3"/>
      <c r="C2" s="3"/>
      <c r="D2" s="3"/>
      <c r="E2" s="3"/>
      <c r="F2" s="3"/>
      <c r="G2" s="3"/>
      <c r="H2" s="3"/>
    </row>
    <row r="3" spans="1:8" ht="18" customHeight="1">
      <c r="A3" s="2" t="s">
        <v>111</v>
      </c>
      <c r="B3" s="2"/>
      <c r="C3" s="2"/>
      <c r="D3" s="2"/>
      <c r="E3" s="1" t="s">
        <v>112</v>
      </c>
      <c r="F3" s="1"/>
      <c r="G3" s="78" t="s">
        <v>113</v>
      </c>
      <c r="H3" s="78"/>
    </row>
    <row r="4" spans="1:8" ht="18" customHeight="1">
      <c r="A4" s="79" t="s">
        <v>114</v>
      </c>
      <c r="B4" s="79"/>
      <c r="C4" s="79"/>
      <c r="D4" s="79"/>
      <c r="E4" s="1" t="s">
        <v>115</v>
      </c>
      <c r="F4" s="1"/>
      <c r="G4" s="80"/>
      <c r="H4" s="80"/>
    </row>
    <row r="5" spans="1:8" ht="18" customHeight="1">
      <c r="A5" s="79"/>
      <c r="B5" s="79"/>
      <c r="C5" s="79"/>
      <c r="D5" s="79"/>
      <c r="E5" s="1" t="s">
        <v>116</v>
      </c>
      <c r="F5" s="1"/>
      <c r="G5" s="80"/>
      <c r="H5" s="80"/>
    </row>
    <row r="6" spans="1:8" ht="18" customHeight="1">
      <c r="A6" s="81" t="s">
        <v>117</v>
      </c>
      <c r="B6" s="81"/>
      <c r="C6" s="81"/>
      <c r="D6" s="81"/>
    </row>
    <row r="7" spans="1:8" ht="9.75" customHeight="1"/>
    <row r="8" spans="1:8" ht="18" customHeight="1">
      <c r="A8" s="82" t="s">
        <v>118</v>
      </c>
      <c r="B8" s="82"/>
      <c r="C8" s="82"/>
      <c r="D8" s="82"/>
      <c r="E8" s="83" t="s">
        <v>119</v>
      </c>
      <c r="F8" s="83"/>
      <c r="G8" s="83"/>
      <c r="H8" s="83"/>
    </row>
    <row r="9" spans="1:8" ht="18" customHeight="1">
      <c r="A9" s="84" t="str">
        <f>IFERROR("¥ "&amp;TEXT(SUM(F15:F22)*(1+H26),"#,##0")&amp;" -","")</f>
        <v>¥ 0 -</v>
      </c>
      <c r="B9" s="84"/>
      <c r="C9" s="84"/>
      <c r="D9" s="84"/>
      <c r="E9" s="85" t="s">
        <v>120</v>
      </c>
      <c r="F9" s="85"/>
      <c r="G9" s="85"/>
      <c r="H9" s="85"/>
    </row>
    <row r="10" spans="1:8" ht="18" customHeight="1">
      <c r="A10" s="84"/>
      <c r="B10" s="84"/>
      <c r="C10" s="84"/>
      <c r="D10" s="84"/>
      <c r="E10" s="85"/>
      <c r="F10" s="85"/>
      <c r="G10" s="85"/>
      <c r="H10" s="85"/>
    </row>
    <row r="11" spans="1:8" ht="18" customHeight="1">
      <c r="E11" s="86" t="s">
        <v>121</v>
      </c>
      <c r="F11" s="86"/>
      <c r="G11" s="87"/>
      <c r="H11" s="87"/>
    </row>
    <row r="12" spans="1:8" ht="18" customHeight="1">
      <c r="E12" s="86" t="s">
        <v>122</v>
      </c>
      <c r="F12" s="86"/>
      <c r="G12" s="87"/>
      <c r="H12" s="87"/>
    </row>
    <row r="13" spans="1:8" ht="9.75" customHeight="1">
      <c r="E13" s="86" t="s">
        <v>123</v>
      </c>
      <c r="F13" s="86"/>
      <c r="G13" s="87"/>
      <c r="H13" s="87"/>
    </row>
    <row r="14" spans="1:8" ht="19.5" customHeight="1">
      <c r="A14" s="88" t="s">
        <v>124</v>
      </c>
      <c r="B14" s="88"/>
      <c r="C14" s="88" t="s">
        <v>125</v>
      </c>
      <c r="D14" s="88"/>
      <c r="E14" s="62" t="s">
        <v>126</v>
      </c>
      <c r="F14" s="62" t="s">
        <v>127</v>
      </c>
      <c r="G14" s="62" t="s">
        <v>107</v>
      </c>
      <c r="H14" s="62" t="s">
        <v>41</v>
      </c>
    </row>
    <row r="15" spans="1:8" ht="18" customHeight="1">
      <c r="A15" s="89"/>
      <c r="B15" s="89"/>
      <c r="C15" s="89"/>
      <c r="D15" s="89"/>
      <c r="E15" s="63"/>
      <c r="F15" s="64"/>
      <c r="G15" s="65">
        <f t="shared" ref="G15:G22" si="0">IFERROR(E15*F15,"")</f>
        <v>0</v>
      </c>
      <c r="H15" s="66"/>
    </row>
    <row r="16" spans="1:8" ht="18" customHeight="1">
      <c r="A16" s="90"/>
      <c r="B16" s="90"/>
      <c r="C16" s="90"/>
      <c r="D16" s="90"/>
      <c r="E16" s="67"/>
      <c r="F16" s="68"/>
      <c r="G16" s="69">
        <f t="shared" si="0"/>
        <v>0</v>
      </c>
      <c r="H16" s="70"/>
    </row>
    <row r="17" spans="1:8" ht="18" customHeight="1">
      <c r="A17" s="89"/>
      <c r="B17" s="89"/>
      <c r="C17" s="89"/>
      <c r="D17" s="89"/>
      <c r="E17" s="63"/>
      <c r="F17" s="64"/>
      <c r="G17" s="65">
        <f t="shared" si="0"/>
        <v>0</v>
      </c>
      <c r="H17" s="66"/>
    </row>
    <row r="18" spans="1:8" ht="18" customHeight="1">
      <c r="A18" s="90"/>
      <c r="B18" s="90"/>
      <c r="C18" s="90"/>
      <c r="D18" s="90"/>
      <c r="E18" s="67"/>
      <c r="F18" s="68"/>
      <c r="G18" s="69">
        <f t="shared" si="0"/>
        <v>0</v>
      </c>
      <c r="H18" s="70"/>
    </row>
    <row r="19" spans="1:8" ht="18" customHeight="1">
      <c r="A19" s="89"/>
      <c r="B19" s="89"/>
      <c r="C19" s="89"/>
      <c r="D19" s="89"/>
      <c r="E19" s="63"/>
      <c r="F19" s="64"/>
      <c r="G19" s="65">
        <f t="shared" si="0"/>
        <v>0</v>
      </c>
      <c r="H19" s="66"/>
    </row>
    <row r="20" spans="1:8" ht="18" customHeight="1">
      <c r="A20" s="90"/>
      <c r="B20" s="90"/>
      <c r="C20" s="90"/>
      <c r="D20" s="90"/>
      <c r="E20" s="67"/>
      <c r="F20" s="68"/>
      <c r="G20" s="69">
        <f t="shared" si="0"/>
        <v>0</v>
      </c>
      <c r="H20" s="70"/>
    </row>
    <row r="21" spans="1:8" ht="18" customHeight="1">
      <c r="A21" s="89"/>
      <c r="B21" s="89"/>
      <c r="C21" s="89"/>
      <c r="D21" s="89"/>
      <c r="E21" s="63"/>
      <c r="F21" s="64"/>
      <c r="G21" s="65">
        <f t="shared" si="0"/>
        <v>0</v>
      </c>
      <c r="H21" s="66"/>
    </row>
    <row r="22" spans="1:8" ht="18" customHeight="1">
      <c r="A22" s="90"/>
      <c r="B22" s="90"/>
      <c r="C22" s="90"/>
      <c r="D22" s="90"/>
      <c r="E22" s="67"/>
      <c r="F22" s="68"/>
      <c r="G22" s="69">
        <f t="shared" si="0"/>
        <v>0</v>
      </c>
      <c r="H22" s="70"/>
    </row>
    <row r="23" spans="1:8" ht="9.75" customHeight="1">
      <c r="A23" s="91"/>
      <c r="B23" s="91"/>
      <c r="C23" s="91"/>
      <c r="D23" s="91"/>
      <c r="E23" s="91"/>
    </row>
    <row r="24" spans="1:8" ht="18" customHeight="1">
      <c r="A24" s="92"/>
      <c r="B24" s="92"/>
      <c r="C24" s="92"/>
      <c r="D24" s="92"/>
      <c r="E24" s="92"/>
      <c r="F24" s="71" t="s">
        <v>128</v>
      </c>
      <c r="G24" s="72">
        <f>SUM(G15:G22)</f>
        <v>0</v>
      </c>
    </row>
    <row r="25" spans="1:8" ht="18" customHeight="1">
      <c r="A25" s="92"/>
      <c r="B25" s="92"/>
      <c r="C25" s="92"/>
      <c r="D25" s="92"/>
      <c r="E25" s="92"/>
      <c r="F25" s="71" t="s">
        <v>129</v>
      </c>
      <c r="G25" s="73">
        <v>0.1</v>
      </c>
      <c r="H25" s="74" t="s">
        <v>130</v>
      </c>
    </row>
    <row r="26" spans="1:8" ht="18" customHeight="1">
      <c r="A26" s="92"/>
      <c r="B26" s="92"/>
      <c r="C26" s="92"/>
      <c r="D26" s="92"/>
      <c r="E26" s="92"/>
      <c r="F26" s="71" t="s">
        <v>131</v>
      </c>
      <c r="G26" s="75">
        <f>ROUND(G24*G25,0)</f>
        <v>0</v>
      </c>
    </row>
    <row r="27" spans="1:8" ht="18" customHeight="1">
      <c r="F27" s="76" t="s">
        <v>132</v>
      </c>
      <c r="G27" s="77">
        <f>G24+G26</f>
        <v>0</v>
      </c>
    </row>
    <row r="28" spans="1:8" ht="9.75" customHeight="1">
      <c r="A28" s="83" t="s">
        <v>133</v>
      </c>
      <c r="B28" s="83"/>
      <c r="C28" s="83"/>
      <c r="D28" s="83"/>
      <c r="E28" s="83"/>
      <c r="F28" s="83"/>
      <c r="G28" s="83"/>
      <c r="H28" s="83"/>
    </row>
    <row r="29" spans="1:8" ht="18" customHeight="1">
      <c r="A29" s="93" t="s">
        <v>134</v>
      </c>
      <c r="B29" s="93"/>
      <c r="C29" s="93"/>
      <c r="D29" s="93"/>
      <c r="E29" s="93"/>
      <c r="F29" s="93"/>
      <c r="G29" s="93"/>
      <c r="H29" s="93"/>
    </row>
    <row r="30" spans="1:8" ht="18" customHeight="1">
      <c r="A30" s="94" t="s">
        <v>135</v>
      </c>
      <c r="B30" s="94"/>
      <c r="C30" s="94"/>
      <c r="D30" s="94"/>
      <c r="E30" s="94"/>
      <c r="F30" s="94"/>
      <c r="G30" s="94"/>
      <c r="H30" s="94"/>
    </row>
    <row r="31" spans="1:8" ht="15" customHeight="1">
      <c r="A31" s="95" t="s">
        <v>136</v>
      </c>
      <c r="B31" s="95"/>
      <c r="C31" s="95"/>
      <c r="D31" s="95"/>
      <c r="E31" s="95"/>
      <c r="F31" s="95"/>
      <c r="G31" s="95"/>
      <c r="H31" s="95"/>
    </row>
  </sheetData>
  <mergeCells count="46">
    <mergeCell ref="A29:H29"/>
    <mergeCell ref="A30:H30"/>
    <mergeCell ref="A31:H31"/>
    <mergeCell ref="A23:E23"/>
    <mergeCell ref="A24:E24"/>
    <mergeCell ref="A25:E25"/>
    <mergeCell ref="A26:E26"/>
    <mergeCell ref="A28:H28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E11:F11"/>
    <mergeCell ref="G11:H11"/>
    <mergeCell ref="E12:F12"/>
    <mergeCell ref="G12:H12"/>
    <mergeCell ref="E13:F13"/>
    <mergeCell ref="G13:H13"/>
    <mergeCell ref="A6:D6"/>
    <mergeCell ref="A8:D8"/>
    <mergeCell ref="E8:H8"/>
    <mergeCell ref="A9:D10"/>
    <mergeCell ref="E9:H10"/>
    <mergeCell ref="A2:H2"/>
    <mergeCell ref="A3:D3"/>
    <mergeCell ref="E3:F3"/>
    <mergeCell ref="G3:H3"/>
    <mergeCell ref="A4:D5"/>
    <mergeCell ref="E4:F4"/>
    <mergeCell ref="G4:H4"/>
    <mergeCell ref="E5:F5"/>
    <mergeCell ref="G5:H5"/>
  </mergeCells>
  <phoneticPr fontId="43"/>
  <pageMargins left="0.5" right="0.5" top="0.75" bottom="0.75" header="0.511811023622047" footer="0.511811023622047"/>
  <pageSetup paperSize="9"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06930"/>
  </sheetPr>
  <dimension ref="A1:J59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/>
  <cols>
    <col min="1" max="1" width="16" customWidth="1"/>
    <col min="2" max="2" width="24" customWidth="1"/>
    <col min="3" max="3" width="16" customWidth="1"/>
    <col min="4" max="6" width="14" customWidth="1"/>
    <col min="7" max="7" width="16" customWidth="1"/>
    <col min="8" max="8" width="14" customWidth="1"/>
    <col min="9" max="9" width="12" customWidth="1"/>
    <col min="10" max="10" width="24" customWidth="1"/>
  </cols>
  <sheetData>
    <row r="1" spans="1:10" ht="21.75" customHeight="1">
      <c r="A1" s="39" t="s">
        <v>137</v>
      </c>
    </row>
    <row r="2" spans="1:10" ht="15.75" customHeight="1"/>
    <row r="3" spans="1:10" ht="30" customHeight="1">
      <c r="A3" s="28" t="s">
        <v>112</v>
      </c>
      <c r="B3" s="28" t="s">
        <v>138</v>
      </c>
      <c r="C3" s="28" t="s">
        <v>139</v>
      </c>
      <c r="D3" s="28" t="s">
        <v>140</v>
      </c>
      <c r="E3" s="28" t="s">
        <v>116</v>
      </c>
      <c r="F3" s="28" t="s">
        <v>141</v>
      </c>
      <c r="G3" s="28" t="s">
        <v>142</v>
      </c>
      <c r="H3" s="28" t="s">
        <v>143</v>
      </c>
      <c r="I3" s="28" t="s">
        <v>144</v>
      </c>
      <c r="J3" s="28" t="s">
        <v>41</v>
      </c>
    </row>
    <row r="4" spans="1:10" ht="19.5" customHeight="1">
      <c r="A4" s="56"/>
      <c r="B4" s="56"/>
      <c r="C4" s="38"/>
      <c r="D4" s="60"/>
      <c r="E4" s="60"/>
      <c r="F4" s="60"/>
      <c r="G4" s="38"/>
      <c r="H4" s="59">
        <f t="shared" ref="H4:H35" si="0">IFERROR(C4-G4,"")</f>
        <v>0</v>
      </c>
      <c r="I4" s="56"/>
      <c r="J4" s="56"/>
    </row>
    <row r="5" spans="1:10" ht="19.5" customHeight="1">
      <c r="A5" s="56"/>
      <c r="B5" s="56"/>
      <c r="C5" s="38"/>
      <c r="D5" s="60"/>
      <c r="E5" s="60"/>
      <c r="F5" s="60"/>
      <c r="G5" s="38"/>
      <c r="H5" s="59">
        <f t="shared" si="0"/>
        <v>0</v>
      </c>
      <c r="I5" s="56"/>
      <c r="J5" s="56"/>
    </row>
    <row r="6" spans="1:10" ht="19.5" customHeight="1">
      <c r="A6" s="56"/>
      <c r="B6" s="56"/>
      <c r="C6" s="38"/>
      <c r="D6" s="60"/>
      <c r="E6" s="60"/>
      <c r="F6" s="60"/>
      <c r="G6" s="38"/>
      <c r="H6" s="59">
        <f t="shared" si="0"/>
        <v>0</v>
      </c>
      <c r="I6" s="56"/>
      <c r="J6" s="56"/>
    </row>
    <row r="7" spans="1:10" ht="19.5" customHeight="1">
      <c r="A7" s="56"/>
      <c r="B7" s="56"/>
      <c r="C7" s="38"/>
      <c r="D7" s="60"/>
      <c r="E7" s="60"/>
      <c r="F7" s="60"/>
      <c r="G7" s="38"/>
      <c r="H7" s="59">
        <f t="shared" si="0"/>
        <v>0</v>
      </c>
      <c r="I7" s="56"/>
      <c r="J7" s="56"/>
    </row>
    <row r="8" spans="1:10" ht="19.5" customHeight="1">
      <c r="A8" s="56"/>
      <c r="B8" s="56"/>
      <c r="C8" s="38"/>
      <c r="D8" s="60"/>
      <c r="E8" s="60"/>
      <c r="F8" s="60"/>
      <c r="G8" s="38"/>
      <c r="H8" s="59">
        <f t="shared" si="0"/>
        <v>0</v>
      </c>
      <c r="I8" s="56"/>
      <c r="J8" s="56"/>
    </row>
    <row r="9" spans="1:10" ht="19.5" customHeight="1">
      <c r="A9" s="56"/>
      <c r="B9" s="56"/>
      <c r="C9" s="38"/>
      <c r="D9" s="60"/>
      <c r="E9" s="60"/>
      <c r="F9" s="60"/>
      <c r="G9" s="38"/>
      <c r="H9" s="59">
        <f t="shared" si="0"/>
        <v>0</v>
      </c>
      <c r="I9" s="56"/>
      <c r="J9" s="56"/>
    </row>
    <row r="10" spans="1:10" ht="19.5" customHeight="1">
      <c r="A10" s="56"/>
      <c r="B10" s="56"/>
      <c r="C10" s="38"/>
      <c r="D10" s="60"/>
      <c r="E10" s="60"/>
      <c r="F10" s="60"/>
      <c r="G10" s="38"/>
      <c r="H10" s="59">
        <f t="shared" si="0"/>
        <v>0</v>
      </c>
      <c r="I10" s="56"/>
      <c r="J10" s="56"/>
    </row>
    <row r="11" spans="1:10" ht="19.5" customHeight="1">
      <c r="A11" s="56"/>
      <c r="B11" s="56"/>
      <c r="C11" s="38"/>
      <c r="D11" s="60"/>
      <c r="E11" s="60"/>
      <c r="F11" s="60"/>
      <c r="G11" s="38"/>
      <c r="H11" s="59">
        <f t="shared" si="0"/>
        <v>0</v>
      </c>
      <c r="I11" s="56"/>
      <c r="J11" s="56"/>
    </row>
    <row r="12" spans="1:10" ht="19.5" customHeight="1">
      <c r="A12" s="56"/>
      <c r="B12" s="56"/>
      <c r="C12" s="38"/>
      <c r="D12" s="60"/>
      <c r="E12" s="60"/>
      <c r="F12" s="60"/>
      <c r="G12" s="38"/>
      <c r="H12" s="59">
        <f t="shared" si="0"/>
        <v>0</v>
      </c>
      <c r="I12" s="56"/>
      <c r="J12" s="56"/>
    </row>
    <row r="13" spans="1:10" ht="19.5" customHeight="1">
      <c r="A13" s="56"/>
      <c r="B13" s="56"/>
      <c r="C13" s="38"/>
      <c r="D13" s="60"/>
      <c r="E13" s="60"/>
      <c r="F13" s="60"/>
      <c r="G13" s="38"/>
      <c r="H13" s="59">
        <f t="shared" si="0"/>
        <v>0</v>
      </c>
      <c r="I13" s="56"/>
      <c r="J13" s="56"/>
    </row>
    <row r="14" spans="1:10" ht="19.5" customHeight="1">
      <c r="A14" s="56"/>
      <c r="B14" s="56"/>
      <c r="C14" s="38"/>
      <c r="D14" s="60"/>
      <c r="E14" s="60"/>
      <c r="F14" s="60"/>
      <c r="G14" s="38"/>
      <c r="H14" s="59">
        <f t="shared" si="0"/>
        <v>0</v>
      </c>
      <c r="I14" s="56"/>
      <c r="J14" s="56"/>
    </row>
    <row r="15" spans="1:10" ht="19.5" customHeight="1">
      <c r="A15" s="56"/>
      <c r="B15" s="56"/>
      <c r="C15" s="38"/>
      <c r="D15" s="60"/>
      <c r="E15" s="60"/>
      <c r="F15" s="60"/>
      <c r="G15" s="38"/>
      <c r="H15" s="59">
        <f t="shared" si="0"/>
        <v>0</v>
      </c>
      <c r="I15" s="56"/>
      <c r="J15" s="56"/>
    </row>
    <row r="16" spans="1:10" ht="19.5" customHeight="1">
      <c r="A16" s="56"/>
      <c r="B16" s="56"/>
      <c r="C16" s="38"/>
      <c r="D16" s="60"/>
      <c r="E16" s="60"/>
      <c r="F16" s="60"/>
      <c r="G16" s="38"/>
      <c r="H16" s="59">
        <f t="shared" si="0"/>
        <v>0</v>
      </c>
      <c r="I16" s="56"/>
      <c r="J16" s="56"/>
    </row>
    <row r="17" spans="1:10" ht="19.5" customHeight="1">
      <c r="A17" s="56"/>
      <c r="B17" s="56"/>
      <c r="C17" s="38"/>
      <c r="D17" s="60"/>
      <c r="E17" s="60"/>
      <c r="F17" s="60"/>
      <c r="G17" s="38"/>
      <c r="H17" s="59">
        <f t="shared" si="0"/>
        <v>0</v>
      </c>
      <c r="I17" s="56"/>
      <c r="J17" s="56"/>
    </row>
    <row r="18" spans="1:10" ht="19.5" customHeight="1">
      <c r="A18" s="56"/>
      <c r="B18" s="56"/>
      <c r="C18" s="38"/>
      <c r="D18" s="60"/>
      <c r="E18" s="60"/>
      <c r="F18" s="60"/>
      <c r="G18" s="38"/>
      <c r="H18" s="59">
        <f t="shared" si="0"/>
        <v>0</v>
      </c>
      <c r="I18" s="56"/>
      <c r="J18" s="56"/>
    </row>
    <row r="19" spans="1:10" ht="19.5" customHeight="1">
      <c r="A19" s="56"/>
      <c r="B19" s="56"/>
      <c r="C19" s="38"/>
      <c r="D19" s="60"/>
      <c r="E19" s="60"/>
      <c r="F19" s="60"/>
      <c r="G19" s="38"/>
      <c r="H19" s="59">
        <f t="shared" si="0"/>
        <v>0</v>
      </c>
      <c r="I19" s="56"/>
      <c r="J19" s="56"/>
    </row>
    <row r="20" spans="1:10" ht="19.5" customHeight="1">
      <c r="A20" s="56"/>
      <c r="B20" s="56"/>
      <c r="C20" s="38"/>
      <c r="D20" s="60"/>
      <c r="E20" s="60"/>
      <c r="F20" s="60"/>
      <c r="G20" s="38"/>
      <c r="H20" s="59">
        <f t="shared" si="0"/>
        <v>0</v>
      </c>
      <c r="I20" s="56"/>
      <c r="J20" s="56"/>
    </row>
    <row r="21" spans="1:10" ht="19.5" customHeight="1">
      <c r="A21" s="56"/>
      <c r="B21" s="56"/>
      <c r="C21" s="38"/>
      <c r="D21" s="60"/>
      <c r="E21" s="60"/>
      <c r="F21" s="60"/>
      <c r="G21" s="38"/>
      <c r="H21" s="59">
        <f t="shared" si="0"/>
        <v>0</v>
      </c>
      <c r="I21" s="56"/>
      <c r="J21" s="56"/>
    </row>
    <row r="22" spans="1:10" ht="19.5" customHeight="1">
      <c r="A22" s="56"/>
      <c r="B22" s="56"/>
      <c r="C22" s="38"/>
      <c r="D22" s="60"/>
      <c r="E22" s="60"/>
      <c r="F22" s="60"/>
      <c r="G22" s="38"/>
      <c r="H22" s="59">
        <f t="shared" si="0"/>
        <v>0</v>
      </c>
      <c r="I22" s="56"/>
      <c r="J22" s="56"/>
    </row>
    <row r="23" spans="1:10" ht="19.5" customHeight="1">
      <c r="A23" s="56"/>
      <c r="B23" s="56"/>
      <c r="C23" s="38"/>
      <c r="D23" s="60"/>
      <c r="E23" s="60"/>
      <c r="F23" s="60"/>
      <c r="G23" s="38"/>
      <c r="H23" s="59">
        <f t="shared" si="0"/>
        <v>0</v>
      </c>
      <c r="I23" s="56"/>
      <c r="J23" s="56"/>
    </row>
    <row r="24" spans="1:10" ht="19.5" customHeight="1">
      <c r="A24" s="56"/>
      <c r="B24" s="56"/>
      <c r="C24" s="38"/>
      <c r="D24" s="60"/>
      <c r="E24" s="60"/>
      <c r="F24" s="60"/>
      <c r="G24" s="38"/>
      <c r="H24" s="59">
        <f t="shared" si="0"/>
        <v>0</v>
      </c>
      <c r="I24" s="56"/>
      <c r="J24" s="56"/>
    </row>
    <row r="25" spans="1:10" ht="19.5" customHeight="1">
      <c r="A25" s="56"/>
      <c r="B25" s="56"/>
      <c r="C25" s="38"/>
      <c r="D25" s="60"/>
      <c r="E25" s="60"/>
      <c r="F25" s="60"/>
      <c r="G25" s="38"/>
      <c r="H25" s="59">
        <f t="shared" si="0"/>
        <v>0</v>
      </c>
      <c r="I25" s="56"/>
      <c r="J25" s="56"/>
    </row>
    <row r="26" spans="1:10" ht="19.5" customHeight="1">
      <c r="A26" s="56"/>
      <c r="B26" s="56"/>
      <c r="C26" s="38"/>
      <c r="D26" s="60"/>
      <c r="E26" s="60"/>
      <c r="F26" s="60"/>
      <c r="G26" s="38"/>
      <c r="H26" s="59">
        <f t="shared" si="0"/>
        <v>0</v>
      </c>
      <c r="I26" s="56"/>
      <c r="J26" s="56"/>
    </row>
    <row r="27" spans="1:10" ht="19.5" customHeight="1">
      <c r="A27" s="56"/>
      <c r="B27" s="56"/>
      <c r="C27" s="38"/>
      <c r="D27" s="60"/>
      <c r="E27" s="60"/>
      <c r="F27" s="60"/>
      <c r="G27" s="38"/>
      <c r="H27" s="59">
        <f t="shared" si="0"/>
        <v>0</v>
      </c>
      <c r="I27" s="56"/>
      <c r="J27" s="56"/>
    </row>
    <row r="28" spans="1:10" ht="19.5" customHeight="1">
      <c r="A28" s="56"/>
      <c r="B28" s="56"/>
      <c r="C28" s="38"/>
      <c r="D28" s="60"/>
      <c r="E28" s="60"/>
      <c r="F28" s="60"/>
      <c r="G28" s="38"/>
      <c r="H28" s="59">
        <f t="shared" si="0"/>
        <v>0</v>
      </c>
      <c r="I28" s="56"/>
      <c r="J28" s="56"/>
    </row>
    <row r="29" spans="1:10" ht="19.5" customHeight="1">
      <c r="A29" s="56"/>
      <c r="B29" s="56"/>
      <c r="C29" s="38"/>
      <c r="D29" s="60"/>
      <c r="E29" s="60"/>
      <c r="F29" s="60"/>
      <c r="G29" s="38"/>
      <c r="H29" s="59">
        <f t="shared" si="0"/>
        <v>0</v>
      </c>
      <c r="I29" s="56"/>
      <c r="J29" s="56"/>
    </row>
    <row r="30" spans="1:10" ht="19.5" customHeight="1">
      <c r="A30" s="56"/>
      <c r="B30" s="56"/>
      <c r="C30" s="38"/>
      <c r="D30" s="60"/>
      <c r="E30" s="60"/>
      <c r="F30" s="60"/>
      <c r="G30" s="38"/>
      <c r="H30" s="59">
        <f t="shared" si="0"/>
        <v>0</v>
      </c>
      <c r="I30" s="56"/>
      <c r="J30" s="56"/>
    </row>
    <row r="31" spans="1:10" ht="19.5" customHeight="1">
      <c r="A31" s="56"/>
      <c r="B31" s="56"/>
      <c r="C31" s="38"/>
      <c r="D31" s="60"/>
      <c r="E31" s="60"/>
      <c r="F31" s="60"/>
      <c r="G31" s="38"/>
      <c r="H31" s="59">
        <f t="shared" si="0"/>
        <v>0</v>
      </c>
      <c r="I31" s="56"/>
      <c r="J31" s="56"/>
    </row>
    <row r="32" spans="1:10" ht="19.5" customHeight="1">
      <c r="A32" s="56"/>
      <c r="B32" s="56"/>
      <c r="C32" s="38"/>
      <c r="D32" s="60"/>
      <c r="E32" s="60"/>
      <c r="F32" s="60"/>
      <c r="G32" s="38"/>
      <c r="H32" s="59">
        <f t="shared" si="0"/>
        <v>0</v>
      </c>
      <c r="I32" s="56"/>
      <c r="J32" s="56"/>
    </row>
    <row r="33" spans="1:10" ht="19.5" customHeight="1">
      <c r="A33" s="56"/>
      <c r="B33" s="56"/>
      <c r="C33" s="38"/>
      <c r="D33" s="60"/>
      <c r="E33" s="60"/>
      <c r="F33" s="60"/>
      <c r="G33" s="38"/>
      <c r="H33" s="59">
        <f t="shared" si="0"/>
        <v>0</v>
      </c>
      <c r="I33" s="56"/>
      <c r="J33" s="56"/>
    </row>
    <row r="34" spans="1:10" ht="19.5" customHeight="1">
      <c r="A34" s="56"/>
      <c r="B34" s="56"/>
      <c r="C34" s="38"/>
      <c r="D34" s="60"/>
      <c r="E34" s="60"/>
      <c r="F34" s="60"/>
      <c r="G34" s="38"/>
      <c r="H34" s="59">
        <f t="shared" si="0"/>
        <v>0</v>
      </c>
      <c r="I34" s="56"/>
      <c r="J34" s="56"/>
    </row>
    <row r="35" spans="1:10" ht="19.5" customHeight="1">
      <c r="A35" s="56"/>
      <c r="B35" s="56"/>
      <c r="C35" s="38"/>
      <c r="D35" s="60"/>
      <c r="E35" s="60"/>
      <c r="F35" s="60"/>
      <c r="G35" s="38"/>
      <c r="H35" s="59">
        <f t="shared" si="0"/>
        <v>0</v>
      </c>
      <c r="I35" s="56"/>
      <c r="J35" s="56"/>
    </row>
    <row r="36" spans="1:10" ht="19.5" customHeight="1">
      <c r="A36" s="56"/>
      <c r="B36" s="56"/>
      <c r="C36" s="38"/>
      <c r="D36" s="60"/>
      <c r="E36" s="60"/>
      <c r="F36" s="60"/>
      <c r="G36" s="38"/>
      <c r="H36" s="59">
        <f t="shared" ref="H36:H67" si="1">IFERROR(C36-G36,"")</f>
        <v>0</v>
      </c>
      <c r="I36" s="56"/>
      <c r="J36" s="56"/>
    </row>
    <row r="37" spans="1:10" ht="19.5" customHeight="1">
      <c r="A37" s="56"/>
      <c r="B37" s="56"/>
      <c r="C37" s="38"/>
      <c r="D37" s="60"/>
      <c r="E37" s="60"/>
      <c r="F37" s="60"/>
      <c r="G37" s="38"/>
      <c r="H37" s="59">
        <f t="shared" si="1"/>
        <v>0</v>
      </c>
      <c r="I37" s="56"/>
      <c r="J37" s="56"/>
    </row>
    <row r="38" spans="1:10" ht="19.5" customHeight="1">
      <c r="A38" s="56"/>
      <c r="B38" s="56"/>
      <c r="C38" s="38"/>
      <c r="D38" s="60"/>
      <c r="E38" s="60"/>
      <c r="F38" s="60"/>
      <c r="G38" s="38"/>
      <c r="H38" s="59">
        <f t="shared" si="1"/>
        <v>0</v>
      </c>
      <c r="I38" s="56"/>
      <c r="J38" s="56"/>
    </row>
    <row r="39" spans="1:10" ht="19.5" customHeight="1">
      <c r="A39" s="56"/>
      <c r="B39" s="56"/>
      <c r="C39" s="38"/>
      <c r="D39" s="60"/>
      <c r="E39" s="60"/>
      <c r="F39" s="60"/>
      <c r="G39" s="38"/>
      <c r="H39" s="59">
        <f t="shared" si="1"/>
        <v>0</v>
      </c>
      <c r="I39" s="56"/>
      <c r="J39" s="56"/>
    </row>
    <row r="40" spans="1:10" ht="19.5" customHeight="1">
      <c r="A40" s="56"/>
      <c r="B40" s="56"/>
      <c r="C40" s="38"/>
      <c r="D40" s="60"/>
      <c r="E40" s="60"/>
      <c r="F40" s="60"/>
      <c r="G40" s="38"/>
      <c r="H40" s="59">
        <f t="shared" si="1"/>
        <v>0</v>
      </c>
      <c r="I40" s="56"/>
      <c r="J40" s="56"/>
    </row>
    <row r="41" spans="1:10" ht="19.5" customHeight="1">
      <c r="A41" s="56"/>
      <c r="B41" s="56"/>
      <c r="C41" s="38"/>
      <c r="D41" s="60"/>
      <c r="E41" s="60"/>
      <c r="F41" s="60"/>
      <c r="G41" s="38"/>
      <c r="H41" s="59">
        <f t="shared" si="1"/>
        <v>0</v>
      </c>
      <c r="I41" s="56"/>
      <c r="J41" s="56"/>
    </row>
    <row r="42" spans="1:10" ht="19.5" customHeight="1">
      <c r="A42" s="56"/>
      <c r="B42" s="56"/>
      <c r="C42" s="38"/>
      <c r="D42" s="60"/>
      <c r="E42" s="60"/>
      <c r="F42" s="60"/>
      <c r="G42" s="38"/>
      <c r="H42" s="59">
        <f t="shared" si="1"/>
        <v>0</v>
      </c>
      <c r="I42" s="56"/>
      <c r="J42" s="56"/>
    </row>
    <row r="43" spans="1:10" ht="19.5" customHeight="1">
      <c r="A43" s="56"/>
      <c r="B43" s="56"/>
      <c r="C43" s="38"/>
      <c r="D43" s="60"/>
      <c r="E43" s="60"/>
      <c r="F43" s="60"/>
      <c r="G43" s="38"/>
      <c r="H43" s="59">
        <f t="shared" si="1"/>
        <v>0</v>
      </c>
      <c r="I43" s="56"/>
      <c r="J43" s="56"/>
    </row>
    <row r="44" spans="1:10" ht="19.5" customHeight="1">
      <c r="A44" s="56"/>
      <c r="B44" s="56"/>
      <c r="C44" s="38"/>
      <c r="D44" s="60"/>
      <c r="E44" s="60"/>
      <c r="F44" s="60"/>
      <c r="G44" s="38"/>
      <c r="H44" s="59">
        <f t="shared" si="1"/>
        <v>0</v>
      </c>
      <c r="I44" s="56"/>
      <c r="J44" s="56"/>
    </row>
    <row r="45" spans="1:10" ht="19.5" customHeight="1">
      <c r="A45" s="56"/>
      <c r="B45" s="56"/>
      <c r="C45" s="38"/>
      <c r="D45" s="60"/>
      <c r="E45" s="60"/>
      <c r="F45" s="60"/>
      <c r="G45" s="38"/>
      <c r="H45" s="59">
        <f t="shared" si="1"/>
        <v>0</v>
      </c>
      <c r="I45" s="56"/>
      <c r="J45" s="56"/>
    </row>
    <row r="46" spans="1:10" ht="19.5" customHeight="1">
      <c r="A46" s="56"/>
      <c r="B46" s="56"/>
      <c r="C46" s="38"/>
      <c r="D46" s="60"/>
      <c r="E46" s="60"/>
      <c r="F46" s="60"/>
      <c r="G46" s="38"/>
      <c r="H46" s="59">
        <f t="shared" si="1"/>
        <v>0</v>
      </c>
      <c r="I46" s="56"/>
      <c r="J46" s="56"/>
    </row>
    <row r="47" spans="1:10" ht="19.5" customHeight="1">
      <c r="A47" s="56"/>
      <c r="B47" s="56"/>
      <c r="C47" s="38"/>
      <c r="D47" s="60"/>
      <c r="E47" s="60"/>
      <c r="F47" s="60"/>
      <c r="G47" s="38"/>
      <c r="H47" s="59">
        <f t="shared" si="1"/>
        <v>0</v>
      </c>
      <c r="I47" s="56"/>
      <c r="J47" s="56"/>
    </row>
    <row r="48" spans="1:10" ht="19.5" customHeight="1">
      <c r="A48" s="56"/>
      <c r="B48" s="56"/>
      <c r="C48" s="38"/>
      <c r="D48" s="60"/>
      <c r="E48" s="60"/>
      <c r="F48" s="60"/>
      <c r="G48" s="38"/>
      <c r="H48" s="59">
        <f t="shared" si="1"/>
        <v>0</v>
      </c>
      <c r="I48" s="56"/>
      <c r="J48" s="56"/>
    </row>
    <row r="49" spans="1:10" ht="19.5" customHeight="1">
      <c r="A49" s="56"/>
      <c r="B49" s="56"/>
      <c r="C49" s="38"/>
      <c r="D49" s="60"/>
      <c r="E49" s="60"/>
      <c r="F49" s="60"/>
      <c r="G49" s="38"/>
      <c r="H49" s="59">
        <f t="shared" si="1"/>
        <v>0</v>
      </c>
      <c r="I49" s="56"/>
      <c r="J49" s="56"/>
    </row>
    <row r="50" spans="1:10" ht="19.5" customHeight="1">
      <c r="A50" s="56"/>
      <c r="B50" s="56"/>
      <c r="C50" s="38"/>
      <c r="D50" s="60"/>
      <c r="E50" s="60"/>
      <c r="F50" s="60"/>
      <c r="G50" s="38"/>
      <c r="H50" s="59">
        <f t="shared" si="1"/>
        <v>0</v>
      </c>
      <c r="I50" s="56"/>
      <c r="J50" s="56"/>
    </row>
    <row r="51" spans="1:10" ht="19.5" customHeight="1">
      <c r="A51" s="56"/>
      <c r="B51" s="56"/>
      <c r="C51" s="38"/>
      <c r="D51" s="60"/>
      <c r="E51" s="60"/>
      <c r="F51" s="60"/>
      <c r="G51" s="38"/>
      <c r="H51" s="59">
        <f t="shared" si="1"/>
        <v>0</v>
      </c>
      <c r="I51" s="56"/>
      <c r="J51" s="56"/>
    </row>
    <row r="52" spans="1:10" ht="19.5" customHeight="1">
      <c r="A52" s="56"/>
      <c r="B52" s="56"/>
      <c r="C52" s="38"/>
      <c r="D52" s="60"/>
      <c r="E52" s="60"/>
      <c r="F52" s="60"/>
      <c r="G52" s="38"/>
      <c r="H52" s="59">
        <f t="shared" si="1"/>
        <v>0</v>
      </c>
      <c r="I52" s="56"/>
      <c r="J52" s="56"/>
    </row>
    <row r="53" spans="1:10" ht="19.5" customHeight="1">
      <c r="A53" s="56"/>
      <c r="B53" s="56"/>
      <c r="C53" s="38"/>
      <c r="D53" s="60"/>
      <c r="E53" s="60"/>
      <c r="F53" s="60"/>
      <c r="G53" s="38"/>
      <c r="H53" s="59">
        <f t="shared" si="1"/>
        <v>0</v>
      </c>
      <c r="I53" s="56"/>
      <c r="J53" s="56"/>
    </row>
    <row r="54" spans="1:10" ht="19.5" customHeight="1"/>
    <row r="55" spans="1:10" ht="19.5" customHeight="1"/>
    <row r="56" spans="1:10" ht="19.5" customHeight="1"/>
    <row r="57" spans="1:10" ht="19.5" customHeight="1"/>
    <row r="58" spans="1:10" ht="19.5" customHeight="1"/>
    <row r="59" spans="1:10" ht="19.5" customHeight="1"/>
  </sheetData>
  <phoneticPr fontId="43"/>
  <conditionalFormatting sqref="I4:I53">
    <cfRule type="cellIs" dxfId="1" priority="2" operator="equal">
      <formula>"入金済"</formula>
    </cfRule>
    <cfRule type="cellIs" dxfId="0" priority="3" operator="equal">
      <formula>"未入金"</formula>
    </cfRule>
  </conditionalFormatting>
  <dataValidations count="1">
    <dataValidation type="list" allowBlank="1" sqref="I4:I53" xr:uid="{00000000-0002-0000-0600-000000000000}">
      <formula1>"入金済,未入金,一部入金,キャンセル"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📋 使い方ガイド</vt:lpstr>
      <vt:lpstr>①CSVペースト</vt:lpstr>
      <vt:lpstr>②収支管理</vt:lpstr>
      <vt:lpstr>③取引先マスタ</vt:lpstr>
      <vt:lpstr>④支払管理</vt:lpstr>
      <vt:lpstr>⑤請求書作成</vt:lpstr>
      <vt:lpstr>⑥入金確認</vt:lpstr>
      <vt:lpstr>⑤請求書作成!Print_Area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hiromi mitugi</cp:lastModifiedBy>
  <cp:revision>6</cp:revision>
  <dcterms:created xsi:type="dcterms:W3CDTF">2026-05-28T05:46:34Z</dcterms:created>
  <dcterms:modified xsi:type="dcterms:W3CDTF">2026-05-29T02:52:31Z</dcterms:modified>
  <dc:language>en-US</dc:language>
</cp:coreProperties>
</file>