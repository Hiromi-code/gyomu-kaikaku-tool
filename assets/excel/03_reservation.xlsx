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【IJI】 Dropbox\mitsugi hiromi\グローカル研究所\自動販売ツール\業務改革\制作物\"/>
    </mc:Choice>
  </mc:AlternateContent>
  <xr:revisionPtr revIDLastSave="0" documentId="13_ncr:1_{2CDBDB12-A389-4D31-B1DB-474A9A06A305}" xr6:coauthVersionLast="47" xr6:coauthVersionMax="47" xr10:uidLastSave="{00000000-0000-0000-0000-000000000000}"/>
  <bookViews>
    <workbookView xWindow="57480" yWindow="15990" windowWidth="29040" windowHeight="15720" tabRatio="500" activeTab="4" xr2:uid="{00000000-000D-0000-FFFF-FFFF00000000}"/>
  </bookViews>
  <sheets>
    <sheet name="📋 使い方ガイド" sheetId="1" r:id="rId1"/>
    <sheet name="①顧客マスタ" sheetId="2" r:id="rId2"/>
    <sheet name="②予約入力" sheetId="3" r:id="rId3"/>
    <sheet name="③カレンダー（月表示）" sheetId="4" r:id="rId4"/>
    <sheet name="④時間帯表（日表示）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5" l="1"/>
  <c r="C29" i="5"/>
  <c r="B29" i="5"/>
  <c r="D28" i="5"/>
  <c r="C28" i="5"/>
  <c r="B28" i="5"/>
  <c r="D27" i="5"/>
  <c r="C27" i="5"/>
  <c r="B27" i="5"/>
  <c r="D26" i="5"/>
  <c r="C26" i="5"/>
  <c r="B26" i="5"/>
  <c r="D25" i="5"/>
  <c r="C25" i="5"/>
  <c r="B25" i="5"/>
  <c r="D24" i="5"/>
  <c r="C24" i="5"/>
  <c r="B24" i="5"/>
  <c r="D23" i="5"/>
  <c r="C23" i="5"/>
  <c r="B23" i="5"/>
  <c r="D22" i="5"/>
  <c r="C22" i="5"/>
  <c r="B22" i="5"/>
  <c r="D21" i="5"/>
  <c r="C21" i="5"/>
  <c r="B21" i="5"/>
  <c r="D20" i="5"/>
  <c r="C20" i="5"/>
  <c r="B20" i="5"/>
  <c r="D19" i="5"/>
  <c r="C19" i="5"/>
  <c r="B19" i="5"/>
  <c r="D18" i="5"/>
  <c r="C18" i="5"/>
  <c r="B18" i="5"/>
  <c r="D17" i="5"/>
  <c r="C17" i="5"/>
  <c r="B17" i="5"/>
  <c r="D16" i="5"/>
  <c r="C16" i="5"/>
  <c r="B16" i="5"/>
  <c r="D15" i="5"/>
  <c r="C15" i="5"/>
  <c r="B15" i="5"/>
  <c r="D14" i="5"/>
  <c r="C14" i="5"/>
  <c r="B14" i="5"/>
  <c r="D13" i="5"/>
  <c r="C13" i="5"/>
  <c r="B13" i="5"/>
  <c r="D12" i="5"/>
  <c r="C12" i="5"/>
  <c r="B12" i="5"/>
  <c r="D11" i="5"/>
  <c r="C11" i="5"/>
  <c r="B11" i="5"/>
  <c r="D10" i="5"/>
  <c r="C10" i="5"/>
  <c r="B10" i="5"/>
  <c r="D9" i="5"/>
  <c r="C9" i="5"/>
  <c r="B9" i="5"/>
  <c r="D8" i="5"/>
  <c r="C8" i="5"/>
  <c r="B8" i="5"/>
  <c r="D7" i="5"/>
  <c r="C7" i="5"/>
  <c r="B7" i="5"/>
  <c r="D6" i="5"/>
  <c r="C6" i="5"/>
  <c r="B6" i="5"/>
  <c r="H16" i="4"/>
  <c r="H17" i="4" s="1"/>
  <c r="G16" i="4"/>
  <c r="G17" i="4" s="1"/>
  <c r="F16" i="4"/>
  <c r="F17" i="4" s="1"/>
  <c r="E16" i="4"/>
  <c r="E17" i="4" s="1"/>
  <c r="D16" i="4"/>
  <c r="D17" i="4" s="1"/>
  <c r="C16" i="4"/>
  <c r="C17" i="4" s="1"/>
  <c r="B16" i="4"/>
  <c r="B17" i="4" s="1"/>
  <c r="H14" i="4"/>
  <c r="H15" i="4" s="1"/>
  <c r="G14" i="4"/>
  <c r="G15" i="4" s="1"/>
  <c r="F14" i="4"/>
  <c r="F15" i="4" s="1"/>
  <c r="E14" i="4"/>
  <c r="E15" i="4" s="1"/>
  <c r="D14" i="4"/>
  <c r="D15" i="4" s="1"/>
  <c r="C14" i="4"/>
  <c r="C15" i="4" s="1"/>
  <c r="B14" i="4"/>
  <c r="B15" i="4" s="1"/>
  <c r="H12" i="4"/>
  <c r="H13" i="4" s="1"/>
  <c r="G12" i="4"/>
  <c r="G13" i="4" s="1"/>
  <c r="F12" i="4"/>
  <c r="F13" i="4" s="1"/>
  <c r="E12" i="4"/>
  <c r="E13" i="4" s="1"/>
  <c r="D12" i="4"/>
  <c r="D13" i="4" s="1"/>
  <c r="C12" i="4"/>
  <c r="C13" i="4" s="1"/>
  <c r="B12" i="4"/>
  <c r="B13" i="4" s="1"/>
  <c r="D11" i="4"/>
  <c r="C11" i="4"/>
  <c r="B11" i="4"/>
  <c r="H10" i="4"/>
  <c r="H11" i="4" s="1"/>
  <c r="G10" i="4"/>
  <c r="G11" i="4" s="1"/>
  <c r="F10" i="4"/>
  <c r="F11" i="4" s="1"/>
  <c r="E10" i="4"/>
  <c r="E11" i="4" s="1"/>
  <c r="D10" i="4"/>
  <c r="C10" i="4"/>
  <c r="B10" i="4"/>
  <c r="H8" i="4"/>
  <c r="H9" i="4" s="1"/>
  <c r="G8" i="4"/>
  <c r="G9" i="4" s="1"/>
  <c r="F8" i="4"/>
  <c r="F9" i="4" s="1"/>
  <c r="E8" i="4"/>
  <c r="E9" i="4" s="1"/>
  <c r="D8" i="4"/>
  <c r="D9" i="4" s="1"/>
  <c r="C8" i="4"/>
  <c r="C9" i="4" s="1"/>
  <c r="B8" i="4"/>
  <c r="B9" i="4" s="1"/>
  <c r="H6" i="4"/>
  <c r="H7" i="4" s="1"/>
  <c r="G6" i="4"/>
  <c r="G7" i="4" s="1"/>
  <c r="F6" i="4"/>
  <c r="F7" i="4" s="1"/>
  <c r="E6" i="4"/>
  <c r="E7" i="4" s="1"/>
  <c r="D6" i="4"/>
  <c r="D7" i="4" s="1"/>
  <c r="C6" i="4"/>
  <c r="C7" i="4" s="1"/>
  <c r="B6" i="4"/>
  <c r="B7" i="4" s="1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</calcChain>
</file>

<file path=xl/sharedStrings.xml><?xml version="1.0" encoding="utf-8"?>
<sst xmlns="http://schemas.openxmlformats.org/spreadsheetml/2006/main" count="128" uniqueCount="107">
  <si>
    <t>③ 予約・スケジュール管理</t>
  </si>
  <si>
    <t>シンプル型（月カレンダー）と時間帯型（日スケジュール）を収録しています</t>
  </si>
  <si>
    <t>📂  シート構成</t>
  </si>
  <si>
    <t>シート名</t>
  </si>
  <si>
    <t>役割</t>
  </si>
  <si>
    <t>主な操作・入力</t>
  </si>
  <si>
    <t>①顧客マスタ</t>
  </si>
  <si>
    <t>予約者の基本情報を登録</t>
  </si>
  <si>
    <t>顧客IDは変更しないこと。②予約入力と紐づいている</t>
  </si>
  <si>
    <t>②予約入力</t>
  </si>
  <si>
    <t>日々の予約を記録する台帳</t>
  </si>
  <si>
    <t>顧客IDを入力すると氏名が自動表示。ダブルブッキング確認はカレンダーシートで</t>
  </si>
  <si>
    <t>③カレンダー（月表示）</t>
  </si>
  <si>
    <t>月単位で予約を俯瞰・ダブルブッキング防止</t>
  </si>
  <si>
    <t>確認月（B3）を入力すると予約済み日が自動でハイライト表示</t>
  </si>
  <si>
    <t>④時間帯表（日表示）</t>
  </si>
  <si>
    <t>1日の時間帯×担当者でスケジュールを確認</t>
  </si>
  <si>
    <t>確認日（B3）を入力するとその日の予約が時間帯ごとに表示</t>
  </si>
  <si>
    <t>🔗  データの流れ（シート間のつながり）</t>
  </si>
  <si>
    <t>入力元シート</t>
  </si>
  <si>
    <t>参照先シート</t>
  </si>
  <si>
    <t>つながりの内容</t>
  </si>
  <si>
    <t>顧客IDをもとに氏名を自動参照</t>
  </si>
  <si>
    <t>日付データから予約件数を月カレンダーに集計</t>
  </si>
  <si>
    <t>日付・時間・担当者データを時間帯マトリクスに表示</t>
  </si>
  <si>
    <t>💡 ヒント：青字のセルは自動計算セルです。直接入力すると数式が消えるためご注意ください。</t>
  </si>
  <si>
    <t>💡 ヒント：グレーの行と白の行が交互になっています。行を追加する場合は最終行の下に追加してください。</t>
  </si>
  <si>
    <t>① 顧客マスタ　― 予約者の基本情報を登録します</t>
  </si>
  <si>
    <t>※ 顧客IDは変更しないでください。②予約入力シートと紐づいています。</t>
  </si>
  <si>
    <t>顧客ID</t>
  </si>
  <si>
    <t>氏名</t>
  </si>
  <si>
    <t>フリガナ</t>
  </si>
  <si>
    <t>電話番号</t>
  </si>
  <si>
    <t>メールアドレス</t>
  </si>
  <si>
    <t>備考</t>
  </si>
  <si>
    <t>C001</t>
  </si>
  <si>
    <t>山田太郎</t>
  </si>
  <si>
    <t>ヤマダタロウ</t>
  </si>
  <si>
    <t>090-1234-5678</t>
  </si>
  <si>
    <t>yamada@example.com</t>
  </si>
  <si>
    <t>C002</t>
  </si>
  <si>
    <t>鈴木花子</t>
  </si>
  <si>
    <t>スズキハナコ</t>
  </si>
  <si>
    <t>080-9876-5432</t>
  </si>
  <si>
    <t>suzuki@example.com</t>
  </si>
  <si>
    <t>常連</t>
  </si>
  <si>
    <t>② 予約入力　― 日々の予約を記録します</t>
  </si>
  <si>
    <t>※ 顧客IDを入力すると氏名が自動表示されます。キャンセル・変更は上書きで管理してください（備考に変更前を記録推奨）。</t>
  </si>
  <si>
    <t>予約ID</t>
  </si>
  <si>
    <t>日付</t>
  </si>
  <si>
    <t>開始時間</t>
  </si>
  <si>
    <t>終了時間</t>
  </si>
  <si>
    <t>顧客名（自動）</t>
  </si>
  <si>
    <t>メニュー</t>
  </si>
  <si>
    <t>担当者</t>
  </si>
  <si>
    <t>状態</t>
  </si>
  <si>
    <t>R001</t>
  </si>
  <si>
    <t>10:00</t>
  </si>
  <si>
    <t>11:00</t>
  </si>
  <si>
    <t>カット</t>
  </si>
  <si>
    <t>田中</t>
  </si>
  <si>
    <t>確定</t>
  </si>
  <si>
    <t>R002</t>
  </si>
  <si>
    <t>13:00</t>
  </si>
  <si>
    <t>15:00</t>
  </si>
  <si>
    <t>カット＋カラー</t>
  </si>
  <si>
    <t>佐藤</t>
  </si>
  <si>
    <t>R003</t>
  </si>
  <si>
    <t>12:00</t>
  </si>
  <si>
    <t>カラー</t>
  </si>
  <si>
    <t>仮予約</t>
  </si>
  <si>
    <t>③ カレンダー（月表示）　― 月単位で予約を俯瞰します</t>
  </si>
  <si>
    <t>確認月</t>
  </si>
  <si>
    <t>← ここに確認したい年月を入力してください（変更するとカレンダーが更新されます）</t>
  </si>
  <si>
    <t>日</t>
  </si>
  <si>
    <t>月</t>
  </si>
  <si>
    <t>火</t>
  </si>
  <si>
    <t>水</t>
  </si>
  <si>
    <t>木</t>
  </si>
  <si>
    <t>金</t>
  </si>
  <si>
    <t>土</t>
  </si>
  <si>
    <t>④ 時間帯表（日表示）　― 1日のスケジュールを担当者×時間帯で確認します</t>
  </si>
  <si>
    <t>※ B3セルに確認したい日付を入力してください。②予約入力の当日分が自動表示されます。</t>
  </si>
  <si>
    <t>確認日</t>
  </si>
  <si>
    <t>← ここに確認したい日付を入力してください</t>
  </si>
  <si>
    <t>鈴木</t>
  </si>
  <si>
    <t>スタッフ追加可</t>
  </si>
  <si>
    <t>09:00</t>
  </si>
  <si>
    <t>09:30</t>
  </si>
  <si>
    <t>10:30</t>
  </si>
  <si>
    <t>11:30</t>
  </si>
  <si>
    <t>12:30</t>
  </si>
  <si>
    <t>13:30</t>
  </si>
  <si>
    <t>14:00</t>
  </si>
  <si>
    <t>14:30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</si>
  <si>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</si>
  <si>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</si>
  <si>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</si>
  <si>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</si>
  <si>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</si>
  <si>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</si>
  <si>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</si>
  <si>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</si>
  <si>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</si>
  <si>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</si>
  <si>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</si>
  <si>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※ B3セルに確認したい年月を入力してください（例：2026/06）。予約がある日に件数が表示されます。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</si>
</sst>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/mm/dd"/>
    <numFmt numFmtId="177" formatCode="hh:mm"/>
    <numFmt numFmtId="178" formatCode="yyyy/mm"/>
    <numFmt numFmtId="179" formatCode="d"/>
  </numFmts>
  <fonts count="28">
    <font>
      <sz val="11"/>
      <color theme="1"/>
      <name val="Calibri"/>
      <family val="2"/>
      <charset val="1"/>
    </font>
    <font>
      <b/>
      <sz val="20"/>
      <color rgb="FFFFFFFF"/>
      <name val="Noto Sans CJK SC"/>
      <family val="2"/>
      <charset val="1"/>
    </font>
    <font>
      <i/>
      <sz val="10"/>
      <color rgb="FF7B4F9E"/>
      <name val="Noto Sans CJK SC"/>
      <family val="2"/>
      <charset val="1"/>
    </font>
    <font>
      <b/>
      <sz val="12"/>
      <color rgb="FFFFFFFF"/>
      <name val="Noto Sans CJK SC"/>
      <family val="2"/>
      <charset val="1"/>
    </font>
    <font>
      <b/>
      <sz val="9"/>
      <color rgb="FFFFFFFF"/>
      <name val="Noto Sans CJK SC"/>
      <family val="2"/>
      <charset val="1"/>
    </font>
    <font>
      <b/>
      <sz val="10"/>
      <color rgb="FF7B4F9E"/>
      <name val="Noto Sans CJK SC"/>
      <family val="2"/>
      <charset val="1"/>
    </font>
    <font>
      <sz val="9"/>
      <color rgb="FF1A1A2E"/>
      <name val="Noto Sans CJK SC"/>
      <family val="2"/>
      <charset val="1"/>
    </font>
    <font>
      <sz val="9"/>
      <color rgb="FF555555"/>
      <name val="Noto Sans CJK SC"/>
      <family val="2"/>
      <charset val="1"/>
    </font>
    <font>
      <sz val="9"/>
      <color rgb="FF1A1A2E"/>
      <name val="Arial"/>
      <family val="2"/>
    </font>
    <font>
      <b/>
      <sz val="9"/>
      <color rgb="FF7B4F9E"/>
      <name val="Noto Sans CJK SC"/>
      <family val="2"/>
      <charset val="1"/>
    </font>
    <font>
      <i/>
      <sz val="9"/>
      <color rgb="FFE06930"/>
      <name val="Noto Sans CJK SC"/>
      <family val="2"/>
      <charset val="1"/>
    </font>
    <font>
      <i/>
      <sz val="9"/>
      <color rgb="FF888888"/>
      <name val="Noto Sans CJK SC"/>
      <family val="2"/>
      <charset val="1"/>
    </font>
    <font>
      <b/>
      <sz val="13"/>
      <color rgb="FF7B4F9E"/>
      <name val="Noto Sans CJK SC"/>
      <family val="2"/>
      <charset val="1"/>
    </font>
    <font>
      <b/>
      <sz val="10"/>
      <color rgb="FFFFFFFF"/>
      <name val="Noto Sans CJK SC"/>
      <family val="2"/>
      <charset val="1"/>
    </font>
    <font>
      <i/>
      <sz val="10"/>
      <color rgb="FFAAAAAA"/>
      <name val="Arial"/>
      <family val="2"/>
    </font>
    <font>
      <i/>
      <sz val="10"/>
      <color rgb="FFAAAAAA"/>
      <name val="Noto Sans CJK SC"/>
      <family val="2"/>
      <charset val="1"/>
    </font>
    <font>
      <sz val="10"/>
      <color rgb="FF1A1A2E"/>
      <name val="Arial"/>
      <family val="2"/>
    </font>
    <font>
      <sz val="10"/>
      <color rgb="FF0070C0"/>
      <name val="Arial"/>
      <family val="2"/>
    </font>
    <font>
      <i/>
      <sz val="9"/>
      <color rgb="FF888888"/>
      <name val="Arial"/>
      <family val="2"/>
    </font>
    <font>
      <b/>
      <sz val="12"/>
      <color rgb="FF7B4F9E"/>
      <name val="Arial"/>
      <family val="2"/>
    </font>
    <font>
      <b/>
      <sz val="11"/>
      <color rgb="FFFFFFFF"/>
      <name val="Noto Sans CJK SC"/>
      <family val="2"/>
      <charset val="1"/>
    </font>
    <font>
      <b/>
      <sz val="11"/>
      <color rgb="FFE06930"/>
      <name val="Arial"/>
      <family val="2"/>
    </font>
    <font>
      <b/>
      <sz val="11"/>
      <color rgb="FF1A1A2E"/>
      <name val="Arial"/>
      <family val="2"/>
    </font>
    <font>
      <b/>
      <sz val="11"/>
      <color rgb="FF168788"/>
      <name val="Arial"/>
      <family val="2"/>
    </font>
    <font>
      <b/>
      <sz val="10"/>
      <color rgb="FF7B4F9E"/>
      <name val="Arial"/>
      <family val="2"/>
    </font>
    <font>
      <b/>
      <sz val="9"/>
      <color rgb="FFFFFFFF"/>
      <name val="Arial"/>
      <family val="2"/>
    </font>
    <font>
      <b/>
      <sz val="9"/>
      <color rgb="FF7B4F9E"/>
      <name val="Arial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7B4F9E"/>
        <bgColor rgb="FF9B6FB0"/>
      </patternFill>
    </fill>
    <fill>
      <patternFill patternType="solid">
        <fgColor rgb="FF9B6FB0"/>
        <bgColor rgb="FF888888"/>
      </patternFill>
    </fill>
    <fill>
      <patternFill patternType="solid">
        <fgColor rgb="FFEFE4F7"/>
        <bgColor rgb="FFDDDDDD"/>
      </patternFill>
    </fill>
    <fill>
      <patternFill patternType="solid">
        <fgColor rgb="FFFFFFFF"/>
        <bgColor rgb="FFEFE4F7"/>
      </patternFill>
    </fill>
    <fill>
      <patternFill patternType="solid">
        <fgColor rgb="FFE06930"/>
        <bgColor rgb="FFFF8080"/>
      </patternFill>
    </fill>
    <fill>
      <patternFill patternType="solid">
        <fgColor rgb="FF168788"/>
        <bgColor rgb="FF008080"/>
      </patternFill>
    </fill>
    <fill>
      <patternFill patternType="solid">
        <fgColor rgb="FFAAAAAA"/>
        <bgColor rgb="FFC0C0C0"/>
      </patternFill>
    </fill>
  </fills>
  <borders count="9">
    <border>
      <left/>
      <right/>
      <top/>
      <bottom/>
      <diagonal/>
    </border>
    <border>
      <left style="medium">
        <color rgb="FF7B4F9E"/>
      </left>
      <right/>
      <top style="medium">
        <color rgb="FF7B4F9E"/>
      </top>
      <bottom style="medium">
        <color rgb="FF7B4F9E"/>
      </bottom>
      <diagonal/>
    </border>
    <border>
      <left style="thin">
        <color rgb="FF7B4F9E"/>
      </left>
      <right/>
      <top style="thin">
        <color rgb="FF7B4F9E"/>
      </top>
      <bottom style="thin">
        <color rgb="FF7B4F9E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7B4F9E"/>
      </left>
      <right style="thin">
        <color rgb="FF7B4F9E"/>
      </right>
      <top style="thin">
        <color rgb="FF7B4F9E"/>
      </top>
      <bottom style="thin">
        <color rgb="FF7B4F9E"/>
      </bottom>
      <diagonal/>
    </border>
    <border>
      <left/>
      <right/>
      <top/>
      <bottom style="thin">
        <color rgb="FFDDDDDD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medium">
        <color rgb="FF7B4F9E"/>
      </top>
      <bottom style="medium">
        <color rgb="FF7B4F9E"/>
      </bottom>
      <diagonal/>
    </border>
    <border>
      <left/>
      <right/>
      <top style="thin">
        <color rgb="FF7B4F9E"/>
      </top>
      <bottom style="thin">
        <color rgb="FF7B4F9E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4" fillId="3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left" vertical="center"/>
    </xf>
    <xf numFmtId="0" fontId="15" fillId="5" borderId="5" xfId="0" applyFont="1" applyFill="1" applyBorder="1" applyAlignment="1">
      <alignment horizontal="left" vertical="center"/>
    </xf>
    <xf numFmtId="0" fontId="16" fillId="4" borderId="5" xfId="0" applyFont="1" applyFill="1" applyBorder="1" applyAlignment="1">
      <alignment horizontal="left" vertical="center"/>
    </xf>
    <xf numFmtId="0" fontId="16" fillId="5" borderId="5" xfId="0" applyFont="1" applyFill="1" applyBorder="1" applyAlignment="1">
      <alignment horizontal="left" vertical="center"/>
    </xf>
    <xf numFmtId="0" fontId="14" fillId="5" borderId="5" xfId="0" applyFont="1" applyFill="1" applyBorder="1" applyAlignment="1">
      <alignment horizontal="center" vertical="center"/>
    </xf>
    <xf numFmtId="176" fontId="14" fillId="5" borderId="5" xfId="0" applyNumberFormat="1" applyFont="1" applyFill="1" applyBorder="1" applyAlignment="1">
      <alignment horizontal="center" vertical="center"/>
    </xf>
    <xf numFmtId="177" fontId="14" fillId="5" borderId="5" xfId="0" applyNumberFormat="1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176" fontId="16" fillId="5" borderId="5" xfId="0" applyNumberFormat="1" applyFont="1" applyFill="1" applyBorder="1" applyAlignment="1">
      <alignment horizontal="center" vertical="center"/>
    </xf>
    <xf numFmtId="177" fontId="16" fillId="5" borderId="5" xfId="0" applyNumberFormat="1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left" vertical="center"/>
    </xf>
    <xf numFmtId="176" fontId="16" fillId="4" borderId="5" xfId="0" applyNumberFormat="1" applyFont="1" applyFill="1" applyBorder="1" applyAlignment="1">
      <alignment horizontal="center" vertical="center"/>
    </xf>
    <xf numFmtId="177" fontId="16" fillId="4" borderId="5" xfId="0" applyNumberFormat="1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center" vertical="center"/>
    </xf>
    <xf numFmtId="178" fontId="19" fillId="0" borderId="4" xfId="0" applyNumberFormat="1" applyFont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9" fontId="21" fillId="0" borderId="3" xfId="0" applyNumberFormat="1" applyFont="1" applyBorder="1" applyAlignment="1">
      <alignment horizontal="right" vertical="center"/>
    </xf>
    <xf numFmtId="179" fontId="22" fillId="0" borderId="3" xfId="0" applyNumberFormat="1" applyFont="1" applyBorder="1" applyAlignment="1">
      <alignment horizontal="right" vertical="center"/>
    </xf>
    <xf numFmtId="179" fontId="23" fillId="0" borderId="3" xfId="0" applyNumberFormat="1" applyFont="1" applyBorder="1" applyAlignment="1">
      <alignment horizontal="right" vertical="center"/>
    </xf>
    <xf numFmtId="0" fontId="24" fillId="4" borderId="3" xfId="0" applyFont="1" applyFill="1" applyBorder="1" applyAlignment="1">
      <alignment horizontal="center" vertical="center"/>
    </xf>
    <xf numFmtId="176" fontId="19" fillId="0" borderId="4" xfId="0" applyNumberFormat="1" applyFont="1" applyBorder="1" applyAlignment="1">
      <alignment horizontal="center" vertical="center"/>
    </xf>
    <xf numFmtId="0" fontId="13" fillId="8" borderId="6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0" fontId="26" fillId="4" borderId="3" xfId="0" applyFont="1" applyFill="1" applyBorder="1" applyAlignment="1">
      <alignment horizontal="center" vertical="center"/>
    </xf>
    <xf numFmtId="0" fontId="25" fillId="3" borderId="4" xfId="0" applyFont="1" applyFill="1" applyBorder="1" applyAlignment="1">
      <alignment horizontal="center" vertical="center"/>
    </xf>
    <xf numFmtId="0" fontId="26" fillId="5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3" fillId="2" borderId="2" xfId="0" applyFont="1" applyFill="1" applyBorder="1" applyAlignment="1">
      <alignment horizontal="left" vertical="center"/>
    </xf>
    <xf numFmtId="0" fontId="0" fillId="0" borderId="8" xfId="0" applyBorder="1"/>
    <xf numFmtId="0" fontId="11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7" xfId="0" applyBorder="1"/>
    <xf numFmtId="0" fontId="10" fillId="0" borderId="0" xfId="0" applyFont="1"/>
    <xf numFmtId="0" fontId="12" fillId="0" borderId="0" xfId="0" applyFont="1"/>
    <xf numFmtId="0" fontId="18" fillId="0" borderId="0" xfId="0" applyFont="1"/>
    <xf numFmtId="0" fontId="10" fillId="0" borderId="0" xfId="0" applyFont="1" applyAlignment="1">
      <alignment horizontal="left" vertical="center"/>
    </xf>
  </cellXfs>
  <cellStyles count="1">
    <cellStyle name="標準" xfId="0" builtinId="0"/>
  </cellStyles>
  <dxfs count="10">
    <dxf>
      <font>
        <b/>
        <sz val="9"/>
        <color rgb="FFFFFFFF"/>
        <name val="Arial"/>
        <charset val="1"/>
      </font>
      <fill>
        <patternFill>
          <bgColor rgb="FF7B4F9E"/>
        </patternFill>
      </fill>
    </dxf>
    <dxf>
      <fill>
        <patternFill>
          <bgColor rgb="FFEFE4F7"/>
        </patternFill>
      </fill>
    </dxf>
    <dxf>
      <fill>
        <patternFill>
          <bgColor rgb="FFEFE4F7"/>
        </patternFill>
      </fill>
    </dxf>
    <dxf>
      <fill>
        <patternFill>
          <bgColor rgb="FFEFE4F7"/>
        </patternFill>
      </fill>
    </dxf>
    <dxf>
      <fill>
        <patternFill>
          <bgColor rgb="FFEFE4F7"/>
        </patternFill>
      </fill>
    </dxf>
    <dxf>
      <fill>
        <patternFill>
          <bgColor rgb="FFEFE4F7"/>
        </patternFill>
      </fill>
    </dxf>
    <dxf>
      <fill>
        <patternFill>
          <bgColor rgb="FFEFE4F7"/>
        </patternFill>
      </fill>
    </dxf>
    <dxf>
      <font>
        <sz val="10"/>
        <color rgb="FF9C5700"/>
        <name val="Arial"/>
        <charset val="1"/>
      </font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276221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168788"/>
      <rgbColor rgb="FFC0C0C0"/>
      <rgbColor rgb="FF888888"/>
      <rgbColor rgb="FF9B6FB0"/>
      <rgbColor rgb="FF993366"/>
      <rgbColor rgb="FFEFE4F7"/>
      <rgbColor rgb="FFCCFFFF"/>
      <rgbColor rgb="FF660066"/>
      <rgbColor rgb="FFFF8080"/>
      <rgbColor rgb="FF0070C0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E06930"/>
      <rgbColor rgb="FF7B4F9E"/>
      <rgbColor rgb="FFAAAAAA"/>
      <rgbColor rgb="FF003366"/>
      <rgbColor rgb="FF339966"/>
      <rgbColor rgb="FF003300"/>
      <rgbColor rgb="FF333300"/>
      <rgbColor rgb="FF9C5700"/>
      <rgbColor rgb="FF993366"/>
      <rgbColor rgb="FF555555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B4F9E"/>
  </sheetPr>
  <dimension ref="B1:D21"/>
  <sheetViews>
    <sheetView showGridLines="0" zoomScaleNormal="100" workbookViewId="0"/>
  </sheetViews>
  <sheetFormatPr defaultColWidth="8.6328125" defaultRowHeight="14.5"/>
  <cols>
    <col min="1" max="1" width="3" customWidth="1"/>
    <col min="2" max="2" width="24" customWidth="1"/>
    <col min="3" max="4" width="36" customWidth="1"/>
    <col min="5" max="5" width="3" customWidth="1"/>
  </cols>
  <sheetData>
    <row r="1" spans="2:4" ht="24" customHeight="1"/>
    <row r="2" spans="2:4" ht="15.75" customHeight="1">
      <c r="B2" s="48" t="s">
        <v>0</v>
      </c>
      <c r="C2" s="49"/>
      <c r="D2" s="49"/>
    </row>
    <row r="3" spans="2:4" ht="21.75" customHeight="1">
      <c r="B3" s="43" t="s">
        <v>1</v>
      </c>
      <c r="C3" s="44"/>
      <c r="D3" s="44"/>
    </row>
    <row r="4" spans="2:4" ht="7.5" customHeight="1"/>
    <row r="5" spans="2:4" ht="25.5" customHeight="1">
      <c r="B5" s="45" t="s">
        <v>2</v>
      </c>
      <c r="C5" s="46"/>
      <c r="D5" s="46"/>
    </row>
    <row r="6" spans="2:4" ht="21.75" customHeight="1">
      <c r="B6" s="1" t="s">
        <v>3</v>
      </c>
      <c r="C6" s="1" t="s">
        <v>4</v>
      </c>
      <c r="D6" s="1" t="s">
        <v>5</v>
      </c>
    </row>
    <row r="7" spans="2:4" ht="27.75" customHeight="1">
      <c r="B7" s="2" t="s">
        <v>6</v>
      </c>
      <c r="C7" s="3" t="s">
        <v>7</v>
      </c>
      <c r="D7" s="4" t="s">
        <v>8</v>
      </c>
    </row>
    <row r="8" spans="2:4" ht="27.75" customHeight="1">
      <c r="B8" s="5" t="s">
        <v>9</v>
      </c>
      <c r="C8" s="6" t="s">
        <v>10</v>
      </c>
      <c r="D8" s="7" t="s">
        <v>11</v>
      </c>
    </row>
    <row r="9" spans="2:4" ht="27.75" customHeight="1">
      <c r="B9" s="2" t="s">
        <v>12</v>
      </c>
      <c r="C9" s="3" t="s">
        <v>13</v>
      </c>
      <c r="D9" s="4" t="s">
        <v>14</v>
      </c>
    </row>
    <row r="10" spans="2:4" ht="27.75" customHeight="1">
      <c r="B10" s="5" t="s">
        <v>15</v>
      </c>
      <c r="C10" s="8" t="s">
        <v>16</v>
      </c>
      <c r="D10" s="7" t="s">
        <v>17</v>
      </c>
    </row>
    <row r="12" spans="2:4" ht="12" customHeight="1"/>
    <row r="13" spans="2:4" ht="25.5" customHeight="1">
      <c r="B13" s="45" t="s">
        <v>18</v>
      </c>
      <c r="C13" s="46"/>
      <c r="D13" s="46"/>
    </row>
    <row r="14" spans="2:4" ht="21.75" customHeight="1">
      <c r="B14" s="1" t="s">
        <v>19</v>
      </c>
      <c r="C14" s="1" t="s">
        <v>20</v>
      </c>
      <c r="D14" s="1" t="s">
        <v>21</v>
      </c>
    </row>
    <row r="15" spans="2:4" ht="24" customHeight="1">
      <c r="B15" s="9" t="s">
        <v>6</v>
      </c>
      <c r="C15" s="9" t="s">
        <v>9</v>
      </c>
      <c r="D15" s="3" t="s">
        <v>22</v>
      </c>
    </row>
    <row r="16" spans="2:4" ht="24" customHeight="1">
      <c r="B16" s="10" t="s">
        <v>9</v>
      </c>
      <c r="C16" s="10" t="s">
        <v>12</v>
      </c>
      <c r="D16" s="6" t="s">
        <v>23</v>
      </c>
    </row>
    <row r="17" spans="2:4" ht="24" customHeight="1">
      <c r="B17" s="9" t="s">
        <v>9</v>
      </c>
      <c r="C17" s="9" t="s">
        <v>15</v>
      </c>
      <c r="D17" s="3" t="s">
        <v>24</v>
      </c>
    </row>
    <row r="20" spans="2:4" ht="19.5" customHeight="1">
      <c r="B20" s="50" t="s">
        <v>25</v>
      </c>
      <c r="C20" s="44"/>
      <c r="D20" s="44"/>
    </row>
    <row r="21" spans="2:4" ht="19.5" customHeight="1">
      <c r="B21" s="47" t="s">
        <v>26</v>
      </c>
      <c r="C21" s="44"/>
      <c r="D21" s="44"/>
    </row>
  </sheetData>
  <mergeCells count="6">
    <mergeCell ref="B3:D3"/>
    <mergeCell ref="B5:D5"/>
    <mergeCell ref="B13:D13"/>
    <mergeCell ref="B21:D21"/>
    <mergeCell ref="B2:D2"/>
    <mergeCell ref="B20:D20"/>
  </mergeCells>
  <phoneticPr fontId="27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B4F9E"/>
  </sheetPr>
  <dimension ref="A1:J105"/>
  <sheetViews>
    <sheetView zoomScaleNormal="100" workbookViewId="0">
      <pane ySplit="3" topLeftCell="A4" activePane="bottomLeft" state="frozen"/>
      <selection pane="bottomLeft"/>
    </sheetView>
  </sheetViews>
  <sheetFormatPr defaultColWidth="8.6328125" defaultRowHeight="14.5"/>
  <cols>
    <col min="1" max="1" width="10" customWidth="1"/>
    <col min="2" max="4" width="16" customWidth="1"/>
    <col min="5" max="5" width="28" customWidth="1"/>
    <col min="6" max="6" width="30" customWidth="1"/>
  </cols>
  <sheetData>
    <row r="1" spans="1:10" ht="24" customHeight="1">
      <c r="A1" s="51" t="s">
        <v>27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15.75" customHeight="1">
      <c r="A2" s="47" t="s">
        <v>28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27.75" customHeight="1">
      <c r="A3" s="11" t="s">
        <v>29</v>
      </c>
      <c r="B3" s="11" t="s">
        <v>30</v>
      </c>
      <c r="C3" s="11" t="s">
        <v>31</v>
      </c>
      <c r="D3" s="11" t="s">
        <v>32</v>
      </c>
      <c r="E3" s="11" t="s">
        <v>33</v>
      </c>
      <c r="F3" s="11" t="s">
        <v>34</v>
      </c>
    </row>
    <row r="4" spans="1:10" ht="19.5" customHeight="1">
      <c r="A4" s="12" t="s">
        <v>35</v>
      </c>
      <c r="B4" s="13" t="s">
        <v>36</v>
      </c>
      <c r="C4" s="13" t="s">
        <v>37</v>
      </c>
      <c r="D4" s="12" t="s">
        <v>38</v>
      </c>
      <c r="E4" s="12" t="s">
        <v>39</v>
      </c>
      <c r="F4" s="12"/>
    </row>
    <row r="5" spans="1:10" ht="19.5" customHeight="1">
      <c r="A5" s="12" t="s">
        <v>40</v>
      </c>
      <c r="B5" s="13" t="s">
        <v>41</v>
      </c>
      <c r="C5" s="13" t="s">
        <v>42</v>
      </c>
      <c r="D5" s="12" t="s">
        <v>43</v>
      </c>
      <c r="E5" s="12" t="s">
        <v>44</v>
      </c>
      <c r="F5" s="13" t="s">
        <v>45</v>
      </c>
    </row>
    <row r="6" spans="1:10" ht="19.5" customHeight="1">
      <c r="A6" s="14"/>
      <c r="B6" s="14"/>
      <c r="C6" s="14"/>
      <c r="D6" s="14"/>
      <c r="E6" s="14"/>
      <c r="F6" s="14"/>
    </row>
    <row r="7" spans="1:10" ht="19.5" customHeight="1">
      <c r="A7" s="15"/>
      <c r="B7" s="15"/>
      <c r="C7" s="15"/>
      <c r="D7" s="15"/>
      <c r="E7" s="15"/>
      <c r="F7" s="15"/>
    </row>
    <row r="8" spans="1:10" ht="19.5" customHeight="1">
      <c r="A8" s="14"/>
      <c r="B8" s="14"/>
      <c r="C8" s="14"/>
      <c r="D8" s="14"/>
      <c r="E8" s="14"/>
      <c r="F8" s="14"/>
    </row>
    <row r="9" spans="1:10" ht="19.5" customHeight="1">
      <c r="A9" s="15"/>
      <c r="B9" s="15"/>
      <c r="C9" s="15"/>
      <c r="D9" s="15"/>
      <c r="E9" s="15"/>
      <c r="F9" s="15"/>
    </row>
    <row r="10" spans="1:10" ht="19.5" customHeight="1">
      <c r="A10" s="14"/>
      <c r="B10" s="14"/>
      <c r="C10" s="14"/>
      <c r="D10" s="14"/>
      <c r="E10" s="14"/>
      <c r="F10" s="14"/>
    </row>
    <row r="11" spans="1:10" ht="19.5" customHeight="1">
      <c r="A11" s="15"/>
      <c r="B11" s="15"/>
      <c r="C11" s="15"/>
      <c r="D11" s="15"/>
      <c r="E11" s="15"/>
      <c r="F11" s="15"/>
    </row>
    <row r="12" spans="1:10" ht="19.5" customHeight="1">
      <c r="A12" s="14"/>
      <c r="B12" s="14"/>
      <c r="C12" s="14"/>
      <c r="D12" s="14"/>
      <c r="E12" s="14"/>
      <c r="F12" s="14"/>
    </row>
    <row r="13" spans="1:10" ht="19.5" customHeight="1">
      <c r="A13" s="15"/>
      <c r="B13" s="15"/>
      <c r="C13" s="15"/>
      <c r="D13" s="15"/>
      <c r="E13" s="15"/>
      <c r="F13" s="15"/>
    </row>
    <row r="14" spans="1:10" ht="19.5" customHeight="1">
      <c r="A14" s="14"/>
      <c r="B14" s="14"/>
      <c r="C14" s="14"/>
      <c r="D14" s="14"/>
      <c r="E14" s="14"/>
      <c r="F14" s="14"/>
    </row>
    <row r="15" spans="1:10" ht="19.5" customHeight="1">
      <c r="A15" s="15"/>
      <c r="B15" s="15"/>
      <c r="C15" s="15"/>
      <c r="D15" s="15"/>
      <c r="E15" s="15"/>
      <c r="F15" s="15"/>
    </row>
    <row r="16" spans="1:10" ht="19.5" customHeight="1">
      <c r="A16" s="14"/>
      <c r="B16" s="14"/>
      <c r="C16" s="14"/>
      <c r="D16" s="14"/>
      <c r="E16" s="14"/>
      <c r="F16" s="14"/>
    </row>
    <row r="17" spans="1:6" ht="19.5" customHeight="1">
      <c r="A17" s="15"/>
      <c r="B17" s="15"/>
      <c r="C17" s="15"/>
      <c r="D17" s="15"/>
      <c r="E17" s="15"/>
      <c r="F17" s="15"/>
    </row>
    <row r="18" spans="1:6" ht="19.5" customHeight="1">
      <c r="A18" s="14"/>
      <c r="B18" s="14"/>
      <c r="C18" s="14"/>
      <c r="D18" s="14"/>
      <c r="E18" s="14"/>
      <c r="F18" s="14"/>
    </row>
    <row r="19" spans="1:6" ht="19.5" customHeight="1">
      <c r="A19" s="15"/>
      <c r="B19" s="15"/>
      <c r="C19" s="15"/>
      <c r="D19" s="15"/>
      <c r="E19" s="15"/>
      <c r="F19" s="15"/>
    </row>
    <row r="20" spans="1:6" ht="19.5" customHeight="1">
      <c r="A20" s="14"/>
      <c r="B20" s="14"/>
      <c r="C20" s="14"/>
      <c r="D20" s="14"/>
      <c r="E20" s="14"/>
      <c r="F20" s="14"/>
    </row>
    <row r="21" spans="1:6" ht="19.5" customHeight="1">
      <c r="A21" s="15"/>
      <c r="B21" s="15"/>
      <c r="C21" s="15"/>
      <c r="D21" s="15"/>
      <c r="E21" s="15"/>
      <c r="F21" s="15"/>
    </row>
    <row r="22" spans="1:6" ht="19.5" customHeight="1">
      <c r="A22" s="14"/>
      <c r="B22" s="14"/>
      <c r="C22" s="14"/>
      <c r="D22" s="14"/>
      <c r="E22" s="14"/>
      <c r="F22" s="14"/>
    </row>
    <row r="23" spans="1:6" ht="19.5" customHeight="1">
      <c r="A23" s="15"/>
      <c r="B23" s="15"/>
      <c r="C23" s="15"/>
      <c r="D23" s="15"/>
      <c r="E23" s="15"/>
      <c r="F23" s="15"/>
    </row>
    <row r="24" spans="1:6" ht="19.5" customHeight="1">
      <c r="A24" s="14"/>
      <c r="B24" s="14"/>
      <c r="C24" s="14"/>
      <c r="D24" s="14"/>
      <c r="E24" s="14"/>
      <c r="F24" s="14"/>
    </row>
    <row r="25" spans="1:6" ht="19.5" customHeight="1">
      <c r="A25" s="15"/>
      <c r="B25" s="15"/>
      <c r="C25" s="15"/>
      <c r="D25" s="15"/>
      <c r="E25" s="15"/>
      <c r="F25" s="15"/>
    </row>
    <row r="26" spans="1:6" ht="19.5" customHeight="1">
      <c r="A26" s="14"/>
      <c r="B26" s="14"/>
      <c r="C26" s="14"/>
      <c r="D26" s="14"/>
      <c r="E26" s="14"/>
      <c r="F26" s="14"/>
    </row>
    <row r="27" spans="1:6" ht="19.5" customHeight="1">
      <c r="A27" s="15"/>
      <c r="B27" s="15"/>
      <c r="C27" s="15"/>
      <c r="D27" s="15"/>
      <c r="E27" s="15"/>
      <c r="F27" s="15"/>
    </row>
    <row r="28" spans="1:6" ht="19.5" customHeight="1">
      <c r="A28" s="14"/>
      <c r="B28" s="14"/>
      <c r="C28" s="14"/>
      <c r="D28" s="14"/>
      <c r="E28" s="14"/>
      <c r="F28" s="14"/>
    </row>
    <row r="29" spans="1:6" ht="19.5" customHeight="1">
      <c r="A29" s="15"/>
      <c r="B29" s="15"/>
      <c r="C29" s="15"/>
      <c r="D29" s="15"/>
      <c r="E29" s="15"/>
      <c r="F29" s="15"/>
    </row>
    <row r="30" spans="1:6" ht="19.5" customHeight="1">
      <c r="A30" s="14"/>
      <c r="B30" s="14"/>
      <c r="C30" s="14"/>
      <c r="D30" s="14"/>
      <c r="E30" s="14"/>
      <c r="F30" s="14"/>
    </row>
    <row r="31" spans="1:6" ht="19.5" customHeight="1">
      <c r="A31" s="15"/>
      <c r="B31" s="15"/>
      <c r="C31" s="15"/>
      <c r="D31" s="15"/>
      <c r="E31" s="15"/>
      <c r="F31" s="15"/>
    </row>
    <row r="32" spans="1:6" ht="19.5" customHeight="1">
      <c r="A32" s="14"/>
      <c r="B32" s="14"/>
      <c r="C32" s="14"/>
      <c r="D32" s="14"/>
      <c r="E32" s="14"/>
      <c r="F32" s="14"/>
    </row>
    <row r="33" spans="1:6" ht="19.5" customHeight="1">
      <c r="A33" s="15"/>
      <c r="B33" s="15"/>
      <c r="C33" s="15"/>
      <c r="D33" s="15"/>
      <c r="E33" s="15"/>
      <c r="F33" s="15"/>
    </row>
    <row r="34" spans="1:6" ht="19.5" customHeight="1">
      <c r="A34" s="14"/>
      <c r="B34" s="14"/>
      <c r="C34" s="14"/>
      <c r="D34" s="14"/>
      <c r="E34" s="14"/>
      <c r="F34" s="14"/>
    </row>
    <row r="35" spans="1:6" ht="19.5" customHeight="1">
      <c r="A35" s="15"/>
      <c r="B35" s="15"/>
      <c r="C35" s="15"/>
      <c r="D35" s="15"/>
      <c r="E35" s="15"/>
      <c r="F35" s="15"/>
    </row>
    <row r="36" spans="1:6" ht="19.5" customHeight="1">
      <c r="A36" s="14"/>
      <c r="B36" s="14"/>
      <c r="C36" s="14"/>
      <c r="D36" s="14"/>
      <c r="E36" s="14"/>
      <c r="F36" s="14"/>
    </row>
    <row r="37" spans="1:6" ht="19.5" customHeight="1">
      <c r="A37" s="15"/>
      <c r="B37" s="15"/>
      <c r="C37" s="15"/>
      <c r="D37" s="15"/>
      <c r="E37" s="15"/>
      <c r="F37" s="15"/>
    </row>
    <row r="38" spans="1:6" ht="19.5" customHeight="1">
      <c r="A38" s="14"/>
      <c r="B38" s="14"/>
      <c r="C38" s="14"/>
      <c r="D38" s="14"/>
      <c r="E38" s="14"/>
      <c r="F38" s="14"/>
    </row>
    <row r="39" spans="1:6" ht="19.5" customHeight="1">
      <c r="A39" s="15"/>
      <c r="B39" s="15"/>
      <c r="C39" s="15"/>
      <c r="D39" s="15"/>
      <c r="E39" s="15"/>
      <c r="F39" s="15"/>
    </row>
    <row r="40" spans="1:6" ht="19.5" customHeight="1">
      <c r="A40" s="14"/>
      <c r="B40" s="14"/>
      <c r="C40" s="14"/>
      <c r="D40" s="14"/>
      <c r="E40" s="14"/>
      <c r="F40" s="14"/>
    </row>
    <row r="41" spans="1:6" ht="19.5" customHeight="1">
      <c r="A41" s="15"/>
      <c r="B41" s="15"/>
      <c r="C41" s="15"/>
      <c r="D41" s="15"/>
      <c r="E41" s="15"/>
      <c r="F41" s="15"/>
    </row>
    <row r="42" spans="1:6" ht="19.5" customHeight="1">
      <c r="A42" s="14"/>
      <c r="B42" s="14"/>
      <c r="C42" s="14"/>
      <c r="D42" s="14"/>
      <c r="E42" s="14"/>
      <c r="F42" s="14"/>
    </row>
    <row r="43" spans="1:6" ht="19.5" customHeight="1">
      <c r="A43" s="15"/>
      <c r="B43" s="15"/>
      <c r="C43" s="15"/>
      <c r="D43" s="15"/>
      <c r="E43" s="15"/>
      <c r="F43" s="15"/>
    </row>
    <row r="44" spans="1:6" ht="19.5" customHeight="1">
      <c r="A44" s="14"/>
      <c r="B44" s="14"/>
      <c r="C44" s="14"/>
      <c r="D44" s="14"/>
      <c r="E44" s="14"/>
      <c r="F44" s="14"/>
    </row>
    <row r="45" spans="1:6" ht="19.5" customHeight="1">
      <c r="A45" s="15"/>
      <c r="B45" s="15"/>
      <c r="C45" s="15"/>
      <c r="D45" s="15"/>
      <c r="E45" s="15"/>
      <c r="F45" s="15"/>
    </row>
    <row r="46" spans="1:6" ht="19.5" customHeight="1">
      <c r="A46" s="14"/>
      <c r="B46" s="14"/>
      <c r="C46" s="14"/>
      <c r="D46" s="14"/>
      <c r="E46" s="14"/>
      <c r="F46" s="14"/>
    </row>
    <row r="47" spans="1:6" ht="19.5" customHeight="1">
      <c r="A47" s="15"/>
      <c r="B47" s="15"/>
      <c r="C47" s="15"/>
      <c r="D47" s="15"/>
      <c r="E47" s="15"/>
      <c r="F47" s="15"/>
    </row>
    <row r="48" spans="1:6" ht="19.5" customHeight="1">
      <c r="A48" s="14"/>
      <c r="B48" s="14"/>
      <c r="C48" s="14"/>
      <c r="D48" s="14"/>
      <c r="E48" s="14"/>
      <c r="F48" s="14"/>
    </row>
    <row r="49" spans="1:6" ht="19.5" customHeight="1">
      <c r="A49" s="15"/>
      <c r="B49" s="15"/>
      <c r="C49" s="15"/>
      <c r="D49" s="15"/>
      <c r="E49" s="15"/>
      <c r="F49" s="15"/>
    </row>
    <row r="50" spans="1:6" ht="19.5" customHeight="1">
      <c r="A50" s="14"/>
      <c r="B50" s="14"/>
      <c r="C50" s="14"/>
      <c r="D50" s="14"/>
      <c r="E50" s="14"/>
      <c r="F50" s="14"/>
    </row>
    <row r="51" spans="1:6" ht="19.5" customHeight="1">
      <c r="A51" s="15"/>
      <c r="B51" s="15"/>
      <c r="C51" s="15"/>
      <c r="D51" s="15"/>
      <c r="E51" s="15"/>
      <c r="F51" s="15"/>
    </row>
    <row r="52" spans="1:6" ht="19.5" customHeight="1">
      <c r="A52" s="14"/>
      <c r="B52" s="14"/>
      <c r="C52" s="14"/>
      <c r="D52" s="14"/>
      <c r="E52" s="14"/>
      <c r="F52" s="14"/>
    </row>
    <row r="53" spans="1:6" ht="19.5" customHeight="1">
      <c r="A53" s="15"/>
      <c r="B53" s="15"/>
      <c r="C53" s="15"/>
      <c r="D53" s="15"/>
      <c r="E53" s="15"/>
      <c r="F53" s="15"/>
    </row>
    <row r="54" spans="1:6" ht="19.5" customHeight="1">
      <c r="A54" s="14"/>
      <c r="B54" s="14"/>
      <c r="C54" s="14"/>
      <c r="D54" s="14"/>
      <c r="E54" s="14"/>
      <c r="F54" s="14"/>
    </row>
    <row r="55" spans="1:6" ht="19.5" customHeight="1">
      <c r="A55" s="15"/>
      <c r="B55" s="15"/>
      <c r="C55" s="15"/>
      <c r="D55" s="15"/>
      <c r="E55" s="15"/>
      <c r="F55" s="15"/>
    </row>
    <row r="56" spans="1:6" ht="19.5" customHeight="1">
      <c r="A56" s="14"/>
      <c r="B56" s="14"/>
      <c r="C56" s="14"/>
      <c r="D56" s="14"/>
      <c r="E56" s="14"/>
      <c r="F56" s="14"/>
    </row>
    <row r="57" spans="1:6" ht="19.5" customHeight="1">
      <c r="A57" s="15"/>
      <c r="B57" s="15"/>
      <c r="C57" s="15"/>
      <c r="D57" s="15"/>
      <c r="E57" s="15"/>
      <c r="F57" s="15"/>
    </row>
    <row r="58" spans="1:6" ht="19.5" customHeight="1">
      <c r="A58" s="14"/>
      <c r="B58" s="14"/>
      <c r="C58" s="14"/>
      <c r="D58" s="14"/>
      <c r="E58" s="14"/>
      <c r="F58" s="14"/>
    </row>
    <row r="59" spans="1:6" ht="19.5" customHeight="1">
      <c r="A59" s="15"/>
      <c r="B59" s="15"/>
      <c r="C59" s="15"/>
      <c r="D59" s="15"/>
      <c r="E59" s="15"/>
      <c r="F59" s="15"/>
    </row>
    <row r="60" spans="1:6" ht="19.5" customHeight="1">
      <c r="A60" s="14"/>
      <c r="B60" s="14"/>
      <c r="C60" s="14"/>
      <c r="D60" s="14"/>
      <c r="E60" s="14"/>
      <c r="F60" s="14"/>
    </row>
    <row r="61" spans="1:6" ht="19.5" customHeight="1">
      <c r="A61" s="15"/>
      <c r="B61" s="15"/>
      <c r="C61" s="15"/>
      <c r="D61" s="15"/>
      <c r="E61" s="15"/>
      <c r="F61" s="15"/>
    </row>
    <row r="62" spans="1:6" ht="19.5" customHeight="1">
      <c r="A62" s="14"/>
      <c r="B62" s="14"/>
      <c r="C62" s="14"/>
      <c r="D62" s="14"/>
      <c r="E62" s="14"/>
      <c r="F62" s="14"/>
    </row>
    <row r="63" spans="1:6" ht="19.5" customHeight="1">
      <c r="A63" s="15"/>
      <c r="B63" s="15"/>
      <c r="C63" s="15"/>
      <c r="D63" s="15"/>
      <c r="E63" s="15"/>
      <c r="F63" s="15"/>
    </row>
    <row r="64" spans="1:6" ht="19.5" customHeight="1">
      <c r="A64" s="14"/>
      <c r="B64" s="14"/>
      <c r="C64" s="14"/>
      <c r="D64" s="14"/>
      <c r="E64" s="14"/>
      <c r="F64" s="14"/>
    </row>
    <row r="65" spans="1:6" ht="19.5" customHeight="1">
      <c r="A65" s="15"/>
      <c r="B65" s="15"/>
      <c r="C65" s="15"/>
      <c r="D65" s="15"/>
      <c r="E65" s="15"/>
      <c r="F65" s="15"/>
    </row>
    <row r="66" spans="1:6" ht="19.5" customHeight="1">
      <c r="A66" s="14"/>
      <c r="B66" s="14"/>
      <c r="C66" s="14"/>
      <c r="D66" s="14"/>
      <c r="E66" s="14"/>
      <c r="F66" s="14"/>
    </row>
    <row r="67" spans="1:6" ht="19.5" customHeight="1">
      <c r="A67" s="15"/>
      <c r="B67" s="15"/>
      <c r="C67" s="15"/>
      <c r="D67" s="15"/>
      <c r="E67" s="15"/>
      <c r="F67" s="15"/>
    </row>
    <row r="68" spans="1:6" ht="19.5" customHeight="1">
      <c r="A68" s="14"/>
      <c r="B68" s="14"/>
      <c r="C68" s="14"/>
      <c r="D68" s="14"/>
      <c r="E68" s="14"/>
      <c r="F68" s="14"/>
    </row>
    <row r="69" spans="1:6" ht="19.5" customHeight="1">
      <c r="A69" s="15"/>
      <c r="B69" s="15"/>
      <c r="C69" s="15"/>
      <c r="D69" s="15"/>
      <c r="E69" s="15"/>
      <c r="F69" s="15"/>
    </row>
    <row r="70" spans="1:6" ht="19.5" customHeight="1">
      <c r="A70" s="14"/>
      <c r="B70" s="14"/>
      <c r="C70" s="14"/>
      <c r="D70" s="14"/>
      <c r="E70" s="14"/>
      <c r="F70" s="14"/>
    </row>
    <row r="71" spans="1:6" ht="19.5" customHeight="1">
      <c r="A71" s="15"/>
      <c r="B71" s="15"/>
      <c r="C71" s="15"/>
      <c r="D71" s="15"/>
      <c r="E71" s="15"/>
      <c r="F71" s="15"/>
    </row>
    <row r="72" spans="1:6" ht="19.5" customHeight="1">
      <c r="A72" s="14"/>
      <c r="B72" s="14"/>
      <c r="C72" s="14"/>
      <c r="D72" s="14"/>
      <c r="E72" s="14"/>
      <c r="F72" s="14"/>
    </row>
    <row r="73" spans="1:6" ht="19.5" customHeight="1">
      <c r="A73" s="15"/>
      <c r="B73" s="15"/>
      <c r="C73" s="15"/>
      <c r="D73" s="15"/>
      <c r="E73" s="15"/>
      <c r="F73" s="15"/>
    </row>
    <row r="74" spans="1:6" ht="19.5" customHeight="1">
      <c r="A74" s="14"/>
      <c r="B74" s="14"/>
      <c r="C74" s="14"/>
      <c r="D74" s="14"/>
      <c r="E74" s="14"/>
      <c r="F74" s="14"/>
    </row>
    <row r="75" spans="1:6" ht="19.5" customHeight="1">
      <c r="A75" s="15"/>
      <c r="B75" s="15"/>
      <c r="C75" s="15"/>
      <c r="D75" s="15"/>
      <c r="E75" s="15"/>
      <c r="F75" s="15"/>
    </row>
    <row r="76" spans="1:6" ht="19.5" customHeight="1">
      <c r="A76" s="14"/>
      <c r="B76" s="14"/>
      <c r="C76" s="14"/>
      <c r="D76" s="14"/>
      <c r="E76" s="14"/>
      <c r="F76" s="14"/>
    </row>
    <row r="77" spans="1:6" ht="19.5" customHeight="1">
      <c r="A77" s="15"/>
      <c r="B77" s="15"/>
      <c r="C77" s="15"/>
      <c r="D77" s="15"/>
      <c r="E77" s="15"/>
      <c r="F77" s="15"/>
    </row>
    <row r="78" spans="1:6" ht="19.5" customHeight="1">
      <c r="A78" s="14"/>
      <c r="B78" s="14"/>
      <c r="C78" s="14"/>
      <c r="D78" s="14"/>
      <c r="E78" s="14"/>
      <c r="F78" s="14"/>
    </row>
    <row r="79" spans="1:6" ht="19.5" customHeight="1">
      <c r="A79" s="15"/>
      <c r="B79" s="15"/>
      <c r="C79" s="15"/>
      <c r="D79" s="15"/>
      <c r="E79" s="15"/>
      <c r="F79" s="15"/>
    </row>
    <row r="80" spans="1:6" ht="19.5" customHeight="1">
      <c r="A80" s="14"/>
      <c r="B80" s="14"/>
      <c r="C80" s="14"/>
      <c r="D80" s="14"/>
      <c r="E80" s="14"/>
      <c r="F80" s="14"/>
    </row>
    <row r="81" spans="1:6" ht="19.5" customHeight="1">
      <c r="A81" s="15"/>
      <c r="B81" s="15"/>
      <c r="C81" s="15"/>
      <c r="D81" s="15"/>
      <c r="E81" s="15"/>
      <c r="F81" s="15"/>
    </row>
    <row r="82" spans="1:6" ht="19.5" customHeight="1">
      <c r="A82" s="14"/>
      <c r="B82" s="14"/>
      <c r="C82" s="14"/>
      <c r="D82" s="14"/>
      <c r="E82" s="14"/>
      <c r="F82" s="14"/>
    </row>
    <row r="83" spans="1:6" ht="19.5" customHeight="1">
      <c r="A83" s="15"/>
      <c r="B83" s="15"/>
      <c r="C83" s="15"/>
      <c r="D83" s="15"/>
      <c r="E83" s="15"/>
      <c r="F83" s="15"/>
    </row>
    <row r="84" spans="1:6" ht="19.5" customHeight="1">
      <c r="A84" s="14"/>
      <c r="B84" s="14"/>
      <c r="C84" s="14"/>
      <c r="D84" s="14"/>
      <c r="E84" s="14"/>
      <c r="F84" s="14"/>
    </row>
    <row r="85" spans="1:6" ht="19.5" customHeight="1">
      <c r="A85" s="15"/>
      <c r="B85" s="15"/>
      <c r="C85" s="15"/>
      <c r="D85" s="15"/>
      <c r="E85" s="15"/>
      <c r="F85" s="15"/>
    </row>
    <row r="86" spans="1:6" ht="19.5" customHeight="1">
      <c r="A86" s="14"/>
      <c r="B86" s="14"/>
      <c r="C86" s="14"/>
      <c r="D86" s="14"/>
      <c r="E86" s="14"/>
      <c r="F86" s="14"/>
    </row>
    <row r="87" spans="1:6" ht="19.5" customHeight="1">
      <c r="A87" s="15"/>
      <c r="B87" s="15"/>
      <c r="C87" s="15"/>
      <c r="D87" s="15"/>
      <c r="E87" s="15"/>
      <c r="F87" s="15"/>
    </row>
    <row r="88" spans="1:6" ht="19.5" customHeight="1">
      <c r="A88" s="14"/>
      <c r="B88" s="14"/>
      <c r="C88" s="14"/>
      <c r="D88" s="14"/>
      <c r="E88" s="14"/>
      <c r="F88" s="14"/>
    </row>
    <row r="89" spans="1:6" ht="19.5" customHeight="1">
      <c r="A89" s="15"/>
      <c r="B89" s="15"/>
      <c r="C89" s="15"/>
      <c r="D89" s="15"/>
      <c r="E89" s="15"/>
      <c r="F89" s="15"/>
    </row>
    <row r="90" spans="1:6" ht="19.5" customHeight="1">
      <c r="A90" s="14"/>
      <c r="B90" s="14"/>
      <c r="C90" s="14"/>
      <c r="D90" s="14"/>
      <c r="E90" s="14"/>
      <c r="F90" s="14"/>
    </row>
    <row r="91" spans="1:6" ht="19.5" customHeight="1">
      <c r="A91" s="15"/>
      <c r="B91" s="15"/>
      <c r="C91" s="15"/>
      <c r="D91" s="15"/>
      <c r="E91" s="15"/>
      <c r="F91" s="15"/>
    </row>
    <row r="92" spans="1:6" ht="19.5" customHeight="1">
      <c r="A92" s="14"/>
      <c r="B92" s="14"/>
      <c r="C92" s="14"/>
      <c r="D92" s="14"/>
      <c r="E92" s="14"/>
      <c r="F92" s="14"/>
    </row>
    <row r="93" spans="1:6" ht="19.5" customHeight="1">
      <c r="A93" s="15"/>
      <c r="B93" s="15"/>
      <c r="C93" s="15"/>
      <c r="D93" s="15"/>
      <c r="E93" s="15"/>
      <c r="F93" s="15"/>
    </row>
    <row r="94" spans="1:6" ht="19.5" customHeight="1">
      <c r="A94" s="14"/>
      <c r="B94" s="14"/>
      <c r="C94" s="14"/>
      <c r="D94" s="14"/>
      <c r="E94" s="14"/>
      <c r="F94" s="14"/>
    </row>
    <row r="95" spans="1:6" ht="19.5" customHeight="1">
      <c r="A95" s="15"/>
      <c r="B95" s="15"/>
      <c r="C95" s="15"/>
      <c r="D95" s="15"/>
      <c r="E95" s="15"/>
      <c r="F95" s="15"/>
    </row>
    <row r="96" spans="1:6" ht="19.5" customHeight="1">
      <c r="A96" s="14"/>
      <c r="B96" s="14"/>
      <c r="C96" s="14"/>
      <c r="D96" s="14"/>
      <c r="E96" s="14"/>
      <c r="F96" s="14"/>
    </row>
    <row r="97" spans="1:6" ht="19.5" customHeight="1">
      <c r="A97" s="15"/>
      <c r="B97" s="15"/>
      <c r="C97" s="15"/>
      <c r="D97" s="15"/>
      <c r="E97" s="15"/>
      <c r="F97" s="15"/>
    </row>
    <row r="98" spans="1:6" ht="19.5" customHeight="1">
      <c r="A98" s="14"/>
      <c r="B98" s="14"/>
      <c r="C98" s="14"/>
      <c r="D98" s="14"/>
      <c r="E98" s="14"/>
      <c r="F98" s="14"/>
    </row>
    <row r="99" spans="1:6" ht="19.5" customHeight="1">
      <c r="A99" s="15"/>
      <c r="B99" s="15"/>
      <c r="C99" s="15"/>
      <c r="D99" s="15"/>
      <c r="E99" s="15"/>
      <c r="F99" s="15"/>
    </row>
    <row r="100" spans="1:6" ht="19.5" customHeight="1">
      <c r="A100" s="14"/>
      <c r="B100" s="14"/>
      <c r="C100" s="14"/>
      <c r="D100" s="14"/>
      <c r="E100" s="14"/>
      <c r="F100" s="14"/>
    </row>
    <row r="101" spans="1:6" ht="19.5" customHeight="1">
      <c r="A101" s="15"/>
      <c r="B101" s="15"/>
      <c r="C101" s="15"/>
      <c r="D101" s="15"/>
      <c r="E101" s="15"/>
      <c r="F101" s="15"/>
    </row>
    <row r="102" spans="1:6" ht="19.5" customHeight="1">
      <c r="A102" s="14"/>
      <c r="B102" s="14"/>
      <c r="C102" s="14"/>
      <c r="D102" s="14"/>
      <c r="E102" s="14"/>
      <c r="F102" s="14"/>
    </row>
    <row r="103" spans="1:6" ht="19.5" customHeight="1">
      <c r="A103" s="15"/>
      <c r="B103" s="15"/>
      <c r="C103" s="15"/>
      <c r="D103" s="15"/>
      <c r="E103" s="15"/>
      <c r="F103" s="15"/>
    </row>
    <row r="104" spans="1:6" ht="19.5" customHeight="1">
      <c r="A104" s="14"/>
      <c r="B104" s="14"/>
      <c r="C104" s="14"/>
      <c r="D104" s="14"/>
      <c r="E104" s="14"/>
      <c r="F104" s="14"/>
    </row>
    <row r="105" spans="1:6" ht="19.5" customHeight="1">
      <c r="A105" s="15"/>
      <c r="B105" s="15"/>
      <c r="C105" s="15"/>
      <c r="D105" s="15"/>
      <c r="E105" s="15"/>
      <c r="F105" s="15"/>
    </row>
  </sheetData>
  <mergeCells count="2">
    <mergeCell ref="A1:J1"/>
    <mergeCell ref="A2:J2"/>
  </mergeCells>
  <phoneticPr fontId="27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B4F9E"/>
  </sheetPr>
  <dimension ref="A1:J206"/>
  <sheetViews>
    <sheetView zoomScaleNormal="100" workbookViewId="0">
      <pane ySplit="3" topLeftCell="A4" activePane="bottomLeft" state="frozen"/>
      <selection pane="bottomLeft"/>
    </sheetView>
  </sheetViews>
  <sheetFormatPr defaultColWidth="8.6328125" defaultRowHeight="14.5"/>
  <cols>
    <col min="1" max="1" width="10" customWidth="1"/>
    <col min="2" max="2" width="13" customWidth="1"/>
    <col min="3" max="4" width="12" customWidth="1"/>
    <col min="5" max="5" width="10" customWidth="1"/>
    <col min="6" max="6" width="16" customWidth="1"/>
    <col min="7" max="7" width="20" customWidth="1"/>
    <col min="8" max="8" width="14" customWidth="1"/>
    <col min="9" max="9" width="12" customWidth="1"/>
    <col min="10" max="10" width="24" customWidth="1"/>
  </cols>
  <sheetData>
    <row r="1" spans="1:10" ht="24" customHeight="1">
      <c r="A1" s="51" t="s">
        <v>46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15.75" customHeight="1">
      <c r="A2" s="47" t="s">
        <v>47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27.75" customHeight="1">
      <c r="A3" s="11" t="s">
        <v>48</v>
      </c>
      <c r="B3" s="11" t="s">
        <v>49</v>
      </c>
      <c r="C3" s="11" t="s">
        <v>50</v>
      </c>
      <c r="D3" s="11" t="s">
        <v>51</v>
      </c>
      <c r="E3" s="11" t="s">
        <v>29</v>
      </c>
      <c r="F3" s="11" t="s">
        <v>52</v>
      </c>
      <c r="G3" s="11" t="s">
        <v>53</v>
      </c>
      <c r="H3" s="11" t="s">
        <v>54</v>
      </c>
      <c r="I3" s="11" t="s">
        <v>55</v>
      </c>
      <c r="J3" s="11" t="s">
        <v>34</v>
      </c>
    </row>
    <row r="4" spans="1:10" ht="19.5" customHeight="1">
      <c r="A4" s="16" t="s">
        <v>56</v>
      </c>
      <c r="B4" s="17">
        <v>46183</v>
      </c>
      <c r="C4" s="18" t="s">
        <v>57</v>
      </c>
      <c r="D4" s="18" t="s">
        <v>58</v>
      </c>
      <c r="E4" s="16" t="s">
        <v>35</v>
      </c>
      <c r="F4" s="12"/>
      <c r="G4" s="13" t="s">
        <v>59</v>
      </c>
      <c r="H4" s="13" t="s">
        <v>60</v>
      </c>
      <c r="I4" s="19" t="s">
        <v>61</v>
      </c>
      <c r="J4" s="12"/>
    </row>
    <row r="5" spans="1:10" ht="19.5" customHeight="1">
      <c r="A5" s="16" t="s">
        <v>62</v>
      </c>
      <c r="B5" s="17">
        <v>46183</v>
      </c>
      <c r="C5" s="18" t="s">
        <v>63</v>
      </c>
      <c r="D5" s="18" t="s">
        <v>64</v>
      </c>
      <c r="E5" s="16" t="s">
        <v>40</v>
      </c>
      <c r="F5" s="12"/>
      <c r="G5" s="13" t="s">
        <v>65</v>
      </c>
      <c r="H5" s="13" t="s">
        <v>66</v>
      </c>
      <c r="I5" s="19" t="s">
        <v>61</v>
      </c>
      <c r="J5" s="12"/>
    </row>
    <row r="6" spans="1:10" ht="19.5" customHeight="1">
      <c r="A6" s="16" t="s">
        <v>67</v>
      </c>
      <c r="B6" s="17">
        <v>46184</v>
      </c>
      <c r="C6" s="18" t="s">
        <v>58</v>
      </c>
      <c r="D6" s="18" t="s">
        <v>68</v>
      </c>
      <c r="E6" s="16" t="s">
        <v>35</v>
      </c>
      <c r="F6" s="12"/>
      <c r="G6" s="13" t="s">
        <v>69</v>
      </c>
      <c r="H6" s="13" t="s">
        <v>60</v>
      </c>
      <c r="I6" s="19" t="s">
        <v>70</v>
      </c>
      <c r="J6" s="12"/>
    </row>
    <row r="7" spans="1:10" ht="19.5" customHeight="1">
      <c r="A7" s="15"/>
      <c r="B7" s="20"/>
      <c r="C7" s="21"/>
      <c r="D7" s="21"/>
      <c r="E7" s="22"/>
      <c r="F7" s="23" t="str">
        <f>IFERROR(VLOOKUP(E7,①顧客マスタ!$A$4:$F$105,2,0),"")</f>
        <v/>
      </c>
      <c r="G7" s="15"/>
      <c r="H7" s="15"/>
      <c r="I7" s="22"/>
      <c r="J7" s="15"/>
    </row>
    <row r="8" spans="1:10" ht="19.5" customHeight="1">
      <c r="A8" s="14"/>
      <c r="B8" s="24"/>
      <c r="C8" s="25"/>
      <c r="D8" s="25"/>
      <c r="E8" s="26"/>
      <c r="F8" s="27" t="str">
        <f>IFERROR(VLOOKUP(E8,①顧客マスタ!$A$4:$F$105,2,0),"")</f>
        <v/>
      </c>
      <c r="G8" s="14"/>
      <c r="H8" s="14"/>
      <c r="I8" s="26"/>
      <c r="J8" s="14"/>
    </row>
    <row r="9" spans="1:10" ht="19.5" customHeight="1">
      <c r="A9" s="15"/>
      <c r="B9" s="20"/>
      <c r="C9" s="21"/>
      <c r="D9" s="21"/>
      <c r="E9" s="22"/>
      <c r="F9" s="23" t="str">
        <f>IFERROR(VLOOKUP(E9,①顧客マスタ!$A$4:$F$105,2,0),"")</f>
        <v/>
      </c>
      <c r="G9" s="15"/>
      <c r="H9" s="15"/>
      <c r="I9" s="22"/>
      <c r="J9" s="15"/>
    </row>
    <row r="10" spans="1:10" ht="19.5" customHeight="1">
      <c r="A10" s="14"/>
      <c r="B10" s="24"/>
      <c r="C10" s="25"/>
      <c r="D10" s="25"/>
      <c r="E10" s="26"/>
      <c r="F10" s="27" t="str">
        <f>IFERROR(VLOOKUP(E10,①顧客マスタ!$A$4:$F$105,2,0),"")</f>
        <v/>
      </c>
      <c r="G10" s="14"/>
      <c r="H10" s="14"/>
      <c r="I10" s="26"/>
      <c r="J10" s="14"/>
    </row>
    <row r="11" spans="1:10" ht="19.5" customHeight="1">
      <c r="A11" s="15"/>
      <c r="B11" s="20"/>
      <c r="C11" s="21"/>
      <c r="D11" s="21"/>
      <c r="E11" s="22"/>
      <c r="F11" s="23" t="str">
        <f>IFERROR(VLOOKUP(E11,①顧客マスタ!$A$4:$F$105,2,0),"")</f>
        <v/>
      </c>
      <c r="G11" s="15"/>
      <c r="H11" s="15"/>
      <c r="I11" s="22"/>
      <c r="J11" s="15"/>
    </row>
    <row r="12" spans="1:10" ht="19.5" customHeight="1">
      <c r="A12" s="14"/>
      <c r="B12" s="24"/>
      <c r="C12" s="25"/>
      <c r="D12" s="25"/>
      <c r="E12" s="26"/>
      <c r="F12" s="27" t="str">
        <f>IFERROR(VLOOKUP(E12,①顧客マスタ!$A$4:$F$105,2,0),"")</f>
        <v/>
      </c>
      <c r="G12" s="14"/>
      <c r="H12" s="14"/>
      <c r="I12" s="26"/>
      <c r="J12" s="14"/>
    </row>
    <row r="13" spans="1:10" ht="19.5" customHeight="1">
      <c r="A13" s="15"/>
      <c r="B13" s="20"/>
      <c r="C13" s="21"/>
      <c r="D13" s="21"/>
      <c r="E13" s="22"/>
      <c r="F13" s="23" t="str">
        <f>IFERROR(VLOOKUP(E13,①顧客マスタ!$A$4:$F$105,2,0),"")</f>
        <v/>
      </c>
      <c r="G13" s="15"/>
      <c r="H13" s="15"/>
      <c r="I13" s="22"/>
      <c r="J13" s="15"/>
    </row>
    <row r="14" spans="1:10" ht="19.5" customHeight="1">
      <c r="A14" s="14"/>
      <c r="B14" s="24"/>
      <c r="C14" s="25"/>
      <c r="D14" s="25"/>
      <c r="E14" s="26"/>
      <c r="F14" s="27" t="str">
        <f>IFERROR(VLOOKUP(E14,①顧客マスタ!$A$4:$F$105,2,0),"")</f>
        <v/>
      </c>
      <c r="G14" s="14"/>
      <c r="H14" s="14"/>
      <c r="I14" s="26"/>
      <c r="J14" s="14"/>
    </row>
    <row r="15" spans="1:10" ht="19.5" customHeight="1">
      <c r="A15" s="15"/>
      <c r="B15" s="20"/>
      <c r="C15" s="21"/>
      <c r="D15" s="21"/>
      <c r="E15" s="22"/>
      <c r="F15" s="23" t="str">
        <f>IFERROR(VLOOKUP(E15,①顧客マスタ!$A$4:$F$105,2,0),"")</f>
        <v/>
      </c>
      <c r="G15" s="15"/>
      <c r="H15" s="15"/>
      <c r="I15" s="22"/>
      <c r="J15" s="15"/>
    </row>
    <row r="16" spans="1:10" ht="19.5" customHeight="1">
      <c r="A16" s="14"/>
      <c r="B16" s="24"/>
      <c r="C16" s="25"/>
      <c r="D16" s="25"/>
      <c r="E16" s="26"/>
      <c r="F16" s="27" t="str">
        <f>IFERROR(VLOOKUP(E16,①顧客マスタ!$A$4:$F$105,2,0),"")</f>
        <v/>
      </c>
      <c r="G16" s="14"/>
      <c r="H16" s="14"/>
      <c r="I16" s="26"/>
      <c r="J16" s="14"/>
    </row>
    <row r="17" spans="1:10" ht="19.5" customHeight="1">
      <c r="A17" s="15"/>
      <c r="B17" s="20"/>
      <c r="C17" s="21"/>
      <c r="D17" s="21"/>
      <c r="E17" s="22"/>
      <c r="F17" s="23" t="str">
        <f>IFERROR(VLOOKUP(E17,①顧客マスタ!$A$4:$F$105,2,0),"")</f>
        <v/>
      </c>
      <c r="G17" s="15"/>
      <c r="H17" s="15"/>
      <c r="I17" s="22"/>
      <c r="J17" s="15"/>
    </row>
    <row r="18" spans="1:10" ht="19.5" customHeight="1">
      <c r="A18" s="14"/>
      <c r="B18" s="24"/>
      <c r="C18" s="25"/>
      <c r="D18" s="25"/>
      <c r="E18" s="26"/>
      <c r="F18" s="27" t="str">
        <f>IFERROR(VLOOKUP(E18,①顧客マスタ!$A$4:$F$105,2,0),"")</f>
        <v/>
      </c>
      <c r="G18" s="14"/>
      <c r="H18" s="14"/>
      <c r="I18" s="26"/>
      <c r="J18" s="14"/>
    </row>
    <row r="19" spans="1:10" ht="19.5" customHeight="1">
      <c r="A19" s="15"/>
      <c r="B19" s="20"/>
      <c r="C19" s="21"/>
      <c r="D19" s="21"/>
      <c r="E19" s="22"/>
      <c r="F19" s="23" t="str">
        <f>IFERROR(VLOOKUP(E19,①顧客マスタ!$A$4:$F$105,2,0),"")</f>
        <v/>
      </c>
      <c r="G19" s="15"/>
      <c r="H19" s="15"/>
      <c r="I19" s="22"/>
      <c r="J19" s="15"/>
    </row>
    <row r="20" spans="1:10" ht="19.5" customHeight="1">
      <c r="A20" s="14"/>
      <c r="B20" s="24"/>
      <c r="C20" s="25"/>
      <c r="D20" s="25"/>
      <c r="E20" s="26"/>
      <c r="F20" s="27" t="str">
        <f>IFERROR(VLOOKUP(E20,①顧客マスタ!$A$4:$F$105,2,0),"")</f>
        <v/>
      </c>
      <c r="G20" s="14"/>
      <c r="H20" s="14"/>
      <c r="I20" s="26"/>
      <c r="J20" s="14"/>
    </row>
    <row r="21" spans="1:10" ht="19.5" customHeight="1">
      <c r="A21" s="15"/>
      <c r="B21" s="20"/>
      <c r="C21" s="21"/>
      <c r="D21" s="21"/>
      <c r="E21" s="22"/>
      <c r="F21" s="23" t="str">
        <f>IFERROR(VLOOKUP(E21,①顧客マスタ!$A$4:$F$105,2,0),"")</f>
        <v/>
      </c>
      <c r="G21" s="15"/>
      <c r="H21" s="15"/>
      <c r="I21" s="22"/>
      <c r="J21" s="15"/>
    </row>
    <row r="22" spans="1:10" ht="19.5" customHeight="1">
      <c r="A22" s="14"/>
      <c r="B22" s="24"/>
      <c r="C22" s="25"/>
      <c r="D22" s="25"/>
      <c r="E22" s="26"/>
      <c r="F22" s="27" t="str">
        <f>IFERROR(VLOOKUP(E22,①顧客マスタ!$A$4:$F$105,2,0),"")</f>
        <v/>
      </c>
      <c r="G22" s="14"/>
      <c r="H22" s="14"/>
      <c r="I22" s="26"/>
      <c r="J22" s="14"/>
    </row>
    <row r="23" spans="1:10" ht="19.5" customHeight="1">
      <c r="A23" s="15"/>
      <c r="B23" s="20"/>
      <c r="C23" s="21"/>
      <c r="D23" s="21"/>
      <c r="E23" s="22"/>
      <c r="F23" s="23" t="str">
        <f>IFERROR(VLOOKUP(E23,①顧客マスタ!$A$4:$F$105,2,0),"")</f>
        <v/>
      </c>
      <c r="G23" s="15"/>
      <c r="H23" s="15"/>
      <c r="I23" s="22"/>
      <c r="J23" s="15"/>
    </row>
    <row r="24" spans="1:10" ht="19.5" customHeight="1">
      <c r="A24" s="14"/>
      <c r="B24" s="24"/>
      <c r="C24" s="25"/>
      <c r="D24" s="25"/>
      <c r="E24" s="26"/>
      <c r="F24" s="27" t="str">
        <f>IFERROR(VLOOKUP(E24,①顧客マスタ!$A$4:$F$105,2,0),"")</f>
        <v/>
      </c>
      <c r="G24" s="14"/>
      <c r="H24" s="14"/>
      <c r="I24" s="26"/>
      <c r="J24" s="14"/>
    </row>
    <row r="25" spans="1:10" ht="19.5" customHeight="1">
      <c r="A25" s="15"/>
      <c r="B25" s="20"/>
      <c r="C25" s="21"/>
      <c r="D25" s="21"/>
      <c r="E25" s="22"/>
      <c r="F25" s="23" t="str">
        <f>IFERROR(VLOOKUP(E25,①顧客マスタ!$A$4:$F$105,2,0),"")</f>
        <v/>
      </c>
      <c r="G25" s="15"/>
      <c r="H25" s="15"/>
      <c r="I25" s="22"/>
      <c r="J25" s="15"/>
    </row>
    <row r="26" spans="1:10" ht="19.5" customHeight="1">
      <c r="A26" s="14"/>
      <c r="B26" s="24"/>
      <c r="C26" s="25"/>
      <c r="D26" s="25"/>
      <c r="E26" s="26"/>
      <c r="F26" s="27" t="str">
        <f>IFERROR(VLOOKUP(E26,①顧客マスタ!$A$4:$F$105,2,0),"")</f>
        <v/>
      </c>
      <c r="G26" s="14"/>
      <c r="H26" s="14"/>
      <c r="I26" s="26"/>
      <c r="J26" s="14"/>
    </row>
    <row r="27" spans="1:10" ht="19.5" customHeight="1">
      <c r="A27" s="15"/>
      <c r="B27" s="20"/>
      <c r="C27" s="21"/>
      <c r="D27" s="21"/>
      <c r="E27" s="22"/>
      <c r="F27" s="23" t="str">
        <f>IFERROR(VLOOKUP(E27,①顧客マスタ!$A$4:$F$105,2,0),"")</f>
        <v/>
      </c>
      <c r="G27" s="15"/>
      <c r="H27" s="15"/>
      <c r="I27" s="22"/>
      <c r="J27" s="15"/>
    </row>
    <row r="28" spans="1:10" ht="19.5" customHeight="1">
      <c r="A28" s="14"/>
      <c r="B28" s="24"/>
      <c r="C28" s="25"/>
      <c r="D28" s="25"/>
      <c r="E28" s="26"/>
      <c r="F28" s="27" t="str">
        <f>IFERROR(VLOOKUP(E28,①顧客マスタ!$A$4:$F$105,2,0),"")</f>
        <v/>
      </c>
      <c r="G28" s="14"/>
      <c r="H28" s="14"/>
      <c r="I28" s="26"/>
      <c r="J28" s="14"/>
    </row>
    <row r="29" spans="1:10" ht="19.5" customHeight="1">
      <c r="A29" s="15"/>
      <c r="B29" s="20"/>
      <c r="C29" s="21"/>
      <c r="D29" s="21"/>
      <c r="E29" s="22"/>
      <c r="F29" s="23" t="str">
        <f>IFERROR(VLOOKUP(E29,①顧客マスタ!$A$4:$F$105,2,0),"")</f>
        <v/>
      </c>
      <c r="G29" s="15"/>
      <c r="H29" s="15"/>
      <c r="I29" s="22"/>
      <c r="J29" s="15"/>
    </row>
    <row r="30" spans="1:10" ht="19.5" customHeight="1">
      <c r="A30" s="14"/>
      <c r="B30" s="24"/>
      <c r="C30" s="25"/>
      <c r="D30" s="25"/>
      <c r="E30" s="26"/>
      <c r="F30" s="27" t="str">
        <f>IFERROR(VLOOKUP(E30,①顧客マスタ!$A$4:$F$105,2,0),"")</f>
        <v/>
      </c>
      <c r="G30" s="14"/>
      <c r="H30" s="14"/>
      <c r="I30" s="26"/>
      <c r="J30" s="14"/>
    </row>
    <row r="31" spans="1:10" ht="19.5" customHeight="1">
      <c r="A31" s="15"/>
      <c r="B31" s="20"/>
      <c r="C31" s="21"/>
      <c r="D31" s="21"/>
      <c r="E31" s="22"/>
      <c r="F31" s="23" t="str">
        <f>IFERROR(VLOOKUP(E31,①顧客マスタ!$A$4:$F$105,2,0),"")</f>
        <v/>
      </c>
      <c r="G31" s="15"/>
      <c r="H31" s="15"/>
      <c r="I31" s="22"/>
      <c r="J31" s="15"/>
    </row>
    <row r="32" spans="1:10" ht="19.5" customHeight="1">
      <c r="A32" s="14"/>
      <c r="B32" s="24"/>
      <c r="C32" s="25"/>
      <c r="D32" s="25"/>
      <c r="E32" s="26"/>
      <c r="F32" s="27" t="str">
        <f>IFERROR(VLOOKUP(E32,①顧客マスタ!$A$4:$F$105,2,0),"")</f>
        <v/>
      </c>
      <c r="G32" s="14"/>
      <c r="H32" s="14"/>
      <c r="I32" s="26"/>
      <c r="J32" s="14"/>
    </row>
    <row r="33" spans="1:10" ht="19.5" customHeight="1">
      <c r="A33" s="15"/>
      <c r="B33" s="20"/>
      <c r="C33" s="21"/>
      <c r="D33" s="21"/>
      <c r="E33" s="22"/>
      <c r="F33" s="23" t="str">
        <f>IFERROR(VLOOKUP(E33,①顧客マスタ!$A$4:$F$105,2,0),"")</f>
        <v/>
      </c>
      <c r="G33" s="15"/>
      <c r="H33" s="15"/>
      <c r="I33" s="22"/>
      <c r="J33" s="15"/>
    </row>
    <row r="34" spans="1:10" ht="19.5" customHeight="1">
      <c r="A34" s="14"/>
      <c r="B34" s="24"/>
      <c r="C34" s="25"/>
      <c r="D34" s="25"/>
      <c r="E34" s="26"/>
      <c r="F34" s="27" t="str">
        <f>IFERROR(VLOOKUP(E34,①顧客マスタ!$A$4:$F$105,2,0),"")</f>
        <v/>
      </c>
      <c r="G34" s="14"/>
      <c r="H34" s="14"/>
      <c r="I34" s="26"/>
      <c r="J34" s="14"/>
    </row>
    <row r="35" spans="1:10" ht="19.5" customHeight="1">
      <c r="A35" s="15"/>
      <c r="B35" s="20"/>
      <c r="C35" s="21"/>
      <c r="D35" s="21"/>
      <c r="E35" s="22"/>
      <c r="F35" s="23" t="str">
        <f>IFERROR(VLOOKUP(E35,①顧客マスタ!$A$4:$F$105,2,0),"")</f>
        <v/>
      </c>
      <c r="G35" s="15"/>
      <c r="H35" s="15"/>
      <c r="I35" s="22"/>
      <c r="J35" s="15"/>
    </row>
    <row r="36" spans="1:10" ht="19.5" customHeight="1">
      <c r="A36" s="14"/>
      <c r="B36" s="24"/>
      <c r="C36" s="25"/>
      <c r="D36" s="25"/>
      <c r="E36" s="26"/>
      <c r="F36" s="27" t="str">
        <f>IFERROR(VLOOKUP(E36,①顧客マスタ!$A$4:$F$105,2,0),"")</f>
        <v/>
      </c>
      <c r="G36" s="14"/>
      <c r="H36" s="14"/>
      <c r="I36" s="26"/>
      <c r="J36" s="14"/>
    </row>
    <row r="37" spans="1:10" ht="19.5" customHeight="1">
      <c r="A37" s="15"/>
      <c r="B37" s="20"/>
      <c r="C37" s="21"/>
      <c r="D37" s="21"/>
      <c r="E37" s="22"/>
      <c r="F37" s="23" t="str">
        <f>IFERROR(VLOOKUP(E37,①顧客マスタ!$A$4:$F$105,2,0),"")</f>
        <v/>
      </c>
      <c r="G37" s="15"/>
      <c r="H37" s="15"/>
      <c r="I37" s="22"/>
      <c r="J37" s="15"/>
    </row>
    <row r="38" spans="1:10" ht="19.5" customHeight="1">
      <c r="A38" s="14"/>
      <c r="B38" s="24"/>
      <c r="C38" s="25"/>
      <c r="D38" s="25"/>
      <c r="E38" s="26"/>
      <c r="F38" s="27" t="str">
        <f>IFERROR(VLOOKUP(E38,①顧客マスタ!$A$4:$F$105,2,0),"")</f>
        <v/>
      </c>
      <c r="G38" s="14"/>
      <c r="H38" s="14"/>
      <c r="I38" s="26"/>
      <c r="J38" s="14"/>
    </row>
    <row r="39" spans="1:10" ht="19.5" customHeight="1">
      <c r="A39" s="15"/>
      <c r="B39" s="20"/>
      <c r="C39" s="21"/>
      <c r="D39" s="21"/>
      <c r="E39" s="22"/>
      <c r="F39" s="23" t="str">
        <f>IFERROR(VLOOKUP(E39,①顧客マスタ!$A$4:$F$105,2,0),"")</f>
        <v/>
      </c>
      <c r="G39" s="15"/>
      <c r="H39" s="15"/>
      <c r="I39" s="22"/>
      <c r="J39" s="15"/>
    </row>
    <row r="40" spans="1:10" ht="19.5" customHeight="1">
      <c r="A40" s="14"/>
      <c r="B40" s="24"/>
      <c r="C40" s="25"/>
      <c r="D40" s="25"/>
      <c r="E40" s="26"/>
      <c r="F40" s="27" t="str">
        <f>IFERROR(VLOOKUP(E40,①顧客マスタ!$A$4:$F$105,2,0),"")</f>
        <v/>
      </c>
      <c r="G40" s="14"/>
      <c r="H40" s="14"/>
      <c r="I40" s="26"/>
      <c r="J40" s="14"/>
    </row>
    <row r="41" spans="1:10" ht="19.5" customHeight="1">
      <c r="A41" s="15"/>
      <c r="B41" s="20"/>
      <c r="C41" s="21"/>
      <c r="D41" s="21"/>
      <c r="E41" s="22"/>
      <c r="F41" s="23" t="str">
        <f>IFERROR(VLOOKUP(E41,①顧客マスタ!$A$4:$F$105,2,0),"")</f>
        <v/>
      </c>
      <c r="G41" s="15"/>
      <c r="H41" s="15"/>
      <c r="I41" s="22"/>
      <c r="J41" s="15"/>
    </row>
    <row r="42" spans="1:10" ht="19.5" customHeight="1">
      <c r="A42" s="14"/>
      <c r="B42" s="24"/>
      <c r="C42" s="25"/>
      <c r="D42" s="25"/>
      <c r="E42" s="26"/>
      <c r="F42" s="27" t="str">
        <f>IFERROR(VLOOKUP(E42,①顧客マスタ!$A$4:$F$105,2,0),"")</f>
        <v/>
      </c>
      <c r="G42" s="14"/>
      <c r="H42" s="14"/>
      <c r="I42" s="26"/>
      <c r="J42" s="14"/>
    </row>
    <row r="43" spans="1:10" ht="19.5" customHeight="1">
      <c r="A43" s="15"/>
      <c r="B43" s="20"/>
      <c r="C43" s="21"/>
      <c r="D43" s="21"/>
      <c r="E43" s="22"/>
      <c r="F43" s="23" t="str">
        <f>IFERROR(VLOOKUP(E43,①顧客マスタ!$A$4:$F$105,2,0),"")</f>
        <v/>
      </c>
      <c r="G43" s="15"/>
      <c r="H43" s="15"/>
      <c r="I43" s="22"/>
      <c r="J43" s="15"/>
    </row>
    <row r="44" spans="1:10" ht="19.5" customHeight="1">
      <c r="A44" s="14"/>
      <c r="B44" s="24"/>
      <c r="C44" s="25"/>
      <c r="D44" s="25"/>
      <c r="E44" s="26"/>
      <c r="F44" s="27" t="str">
        <f>IFERROR(VLOOKUP(E44,①顧客マスタ!$A$4:$F$105,2,0),"")</f>
        <v/>
      </c>
      <c r="G44" s="14"/>
      <c r="H44" s="14"/>
      <c r="I44" s="26"/>
      <c r="J44" s="14"/>
    </row>
    <row r="45" spans="1:10" ht="19.5" customHeight="1">
      <c r="A45" s="15"/>
      <c r="B45" s="20"/>
      <c r="C45" s="21"/>
      <c r="D45" s="21"/>
      <c r="E45" s="22"/>
      <c r="F45" s="23" t="str">
        <f>IFERROR(VLOOKUP(E45,①顧客マスタ!$A$4:$F$105,2,0),"")</f>
        <v/>
      </c>
      <c r="G45" s="15"/>
      <c r="H45" s="15"/>
      <c r="I45" s="22"/>
      <c r="J45" s="15"/>
    </row>
    <row r="46" spans="1:10" ht="19.5" customHeight="1">
      <c r="A46" s="14"/>
      <c r="B46" s="24"/>
      <c r="C46" s="25"/>
      <c r="D46" s="25"/>
      <c r="E46" s="26"/>
      <c r="F46" s="27" t="str">
        <f>IFERROR(VLOOKUP(E46,①顧客マスタ!$A$4:$F$105,2,0),"")</f>
        <v/>
      </c>
      <c r="G46" s="14"/>
      <c r="H46" s="14"/>
      <c r="I46" s="26"/>
      <c r="J46" s="14"/>
    </row>
    <row r="47" spans="1:10" ht="19.5" customHeight="1">
      <c r="A47" s="15"/>
      <c r="B47" s="20"/>
      <c r="C47" s="21"/>
      <c r="D47" s="21"/>
      <c r="E47" s="22"/>
      <c r="F47" s="23" t="str">
        <f>IFERROR(VLOOKUP(E47,①顧客マスタ!$A$4:$F$105,2,0),"")</f>
        <v/>
      </c>
      <c r="G47" s="15"/>
      <c r="H47" s="15"/>
      <c r="I47" s="22"/>
      <c r="J47" s="15"/>
    </row>
    <row r="48" spans="1:10" ht="19.5" customHeight="1">
      <c r="A48" s="14"/>
      <c r="B48" s="24"/>
      <c r="C48" s="25"/>
      <c r="D48" s="25"/>
      <c r="E48" s="26"/>
      <c r="F48" s="27" t="str">
        <f>IFERROR(VLOOKUP(E48,①顧客マスタ!$A$4:$F$105,2,0),"")</f>
        <v/>
      </c>
      <c r="G48" s="14"/>
      <c r="H48" s="14"/>
      <c r="I48" s="26"/>
      <c r="J48" s="14"/>
    </row>
    <row r="49" spans="1:10" ht="19.5" customHeight="1">
      <c r="A49" s="15"/>
      <c r="B49" s="20"/>
      <c r="C49" s="21"/>
      <c r="D49" s="21"/>
      <c r="E49" s="22"/>
      <c r="F49" s="23" t="str">
        <f>IFERROR(VLOOKUP(E49,①顧客マスタ!$A$4:$F$105,2,0),"")</f>
        <v/>
      </c>
      <c r="G49" s="15"/>
      <c r="H49" s="15"/>
      <c r="I49" s="22"/>
      <c r="J49" s="15"/>
    </row>
    <row r="50" spans="1:10" ht="19.5" customHeight="1">
      <c r="A50" s="14"/>
      <c r="B50" s="24"/>
      <c r="C50" s="25"/>
      <c r="D50" s="25"/>
      <c r="E50" s="26"/>
      <c r="F50" s="27" t="str">
        <f>IFERROR(VLOOKUP(E50,①顧客マスタ!$A$4:$F$105,2,0),"")</f>
        <v/>
      </c>
      <c r="G50" s="14"/>
      <c r="H50" s="14"/>
      <c r="I50" s="26"/>
      <c r="J50" s="14"/>
    </row>
    <row r="51" spans="1:10" ht="19.5" customHeight="1">
      <c r="A51" s="15"/>
      <c r="B51" s="20"/>
      <c r="C51" s="21"/>
      <c r="D51" s="21"/>
      <c r="E51" s="22"/>
      <c r="F51" s="23" t="str">
        <f>IFERROR(VLOOKUP(E51,①顧客マスタ!$A$4:$F$105,2,0),"")</f>
        <v/>
      </c>
      <c r="G51" s="15"/>
      <c r="H51" s="15"/>
      <c r="I51" s="22"/>
      <c r="J51" s="15"/>
    </row>
    <row r="52" spans="1:10" ht="19.5" customHeight="1">
      <c r="A52" s="14"/>
      <c r="B52" s="24"/>
      <c r="C52" s="25"/>
      <c r="D52" s="25"/>
      <c r="E52" s="26"/>
      <c r="F52" s="27" t="str">
        <f>IFERROR(VLOOKUP(E52,①顧客マスタ!$A$4:$F$105,2,0),"")</f>
        <v/>
      </c>
      <c r="G52" s="14"/>
      <c r="H52" s="14"/>
      <c r="I52" s="26"/>
      <c r="J52" s="14"/>
    </row>
    <row r="53" spans="1:10" ht="19.5" customHeight="1">
      <c r="A53" s="15"/>
      <c r="B53" s="20"/>
      <c r="C53" s="21"/>
      <c r="D53" s="21"/>
      <c r="E53" s="22"/>
      <c r="F53" s="23" t="str">
        <f>IFERROR(VLOOKUP(E53,①顧客マスタ!$A$4:$F$105,2,0),"")</f>
        <v/>
      </c>
      <c r="G53" s="15"/>
      <c r="H53" s="15"/>
      <c r="I53" s="22"/>
      <c r="J53" s="15"/>
    </row>
    <row r="54" spans="1:10" ht="19.5" customHeight="1">
      <c r="A54" s="14"/>
      <c r="B54" s="24"/>
      <c r="C54" s="25"/>
      <c r="D54" s="25"/>
      <c r="E54" s="26"/>
      <c r="F54" s="27" t="str">
        <f>IFERROR(VLOOKUP(E54,①顧客マスタ!$A$4:$F$105,2,0),"")</f>
        <v/>
      </c>
      <c r="G54" s="14"/>
      <c r="H54" s="14"/>
      <c r="I54" s="26"/>
      <c r="J54" s="14"/>
    </row>
    <row r="55" spans="1:10" ht="19.5" customHeight="1">
      <c r="A55" s="15"/>
      <c r="B55" s="20"/>
      <c r="C55" s="21"/>
      <c r="D55" s="21"/>
      <c r="E55" s="22"/>
      <c r="F55" s="23" t="str">
        <f>IFERROR(VLOOKUP(E55,①顧客マスタ!$A$4:$F$105,2,0),"")</f>
        <v/>
      </c>
      <c r="G55" s="15"/>
      <c r="H55" s="15"/>
      <c r="I55" s="22"/>
      <c r="J55" s="15"/>
    </row>
    <row r="56" spans="1:10" ht="19.5" customHeight="1">
      <c r="A56" s="14"/>
      <c r="B56" s="24"/>
      <c r="C56" s="25"/>
      <c r="D56" s="25"/>
      <c r="E56" s="26"/>
      <c r="F56" s="27" t="str">
        <f>IFERROR(VLOOKUP(E56,①顧客マスタ!$A$4:$F$105,2,0),"")</f>
        <v/>
      </c>
      <c r="G56" s="14"/>
      <c r="H56" s="14"/>
      <c r="I56" s="26"/>
      <c r="J56" s="14"/>
    </row>
    <row r="57" spans="1:10" ht="19.5" customHeight="1">
      <c r="A57" s="15"/>
      <c r="B57" s="20"/>
      <c r="C57" s="21"/>
      <c r="D57" s="21"/>
      <c r="E57" s="22"/>
      <c r="F57" s="23" t="str">
        <f>IFERROR(VLOOKUP(E57,①顧客マスタ!$A$4:$F$105,2,0),"")</f>
        <v/>
      </c>
      <c r="G57" s="15"/>
      <c r="H57" s="15"/>
      <c r="I57" s="22"/>
      <c r="J57" s="15"/>
    </row>
    <row r="58" spans="1:10" ht="19.5" customHeight="1">
      <c r="A58" s="14"/>
      <c r="B58" s="24"/>
      <c r="C58" s="25"/>
      <c r="D58" s="25"/>
      <c r="E58" s="26"/>
      <c r="F58" s="27" t="str">
        <f>IFERROR(VLOOKUP(E58,①顧客マスタ!$A$4:$F$105,2,0),"")</f>
        <v/>
      </c>
      <c r="G58" s="14"/>
      <c r="H58" s="14"/>
      <c r="I58" s="26"/>
      <c r="J58" s="14"/>
    </row>
    <row r="59" spans="1:10" ht="19.5" customHeight="1">
      <c r="A59" s="15"/>
      <c r="B59" s="20"/>
      <c r="C59" s="21"/>
      <c r="D59" s="21"/>
      <c r="E59" s="22"/>
      <c r="F59" s="23" t="str">
        <f>IFERROR(VLOOKUP(E59,①顧客マスタ!$A$4:$F$105,2,0),"")</f>
        <v/>
      </c>
      <c r="G59" s="15"/>
      <c r="H59" s="15"/>
      <c r="I59" s="22"/>
      <c r="J59" s="15"/>
    </row>
    <row r="60" spans="1:10" ht="19.5" customHeight="1">
      <c r="A60" s="14"/>
      <c r="B60" s="24"/>
      <c r="C60" s="25"/>
      <c r="D60" s="25"/>
      <c r="E60" s="26"/>
      <c r="F60" s="27" t="str">
        <f>IFERROR(VLOOKUP(E60,①顧客マスタ!$A$4:$F$105,2,0),"")</f>
        <v/>
      </c>
      <c r="G60" s="14"/>
      <c r="H60" s="14"/>
      <c r="I60" s="26"/>
      <c r="J60" s="14"/>
    </row>
    <row r="61" spans="1:10" ht="19.5" customHeight="1">
      <c r="A61" s="15"/>
      <c r="B61" s="20"/>
      <c r="C61" s="21"/>
      <c r="D61" s="21"/>
      <c r="E61" s="22"/>
      <c r="F61" s="23" t="str">
        <f>IFERROR(VLOOKUP(E61,①顧客マスタ!$A$4:$F$105,2,0),"")</f>
        <v/>
      </c>
      <c r="G61" s="15"/>
      <c r="H61" s="15"/>
      <c r="I61" s="22"/>
      <c r="J61" s="15"/>
    </row>
    <row r="62" spans="1:10" ht="19.5" customHeight="1">
      <c r="A62" s="14"/>
      <c r="B62" s="24"/>
      <c r="C62" s="25"/>
      <c r="D62" s="25"/>
      <c r="E62" s="26"/>
      <c r="F62" s="27" t="str">
        <f>IFERROR(VLOOKUP(E62,①顧客マスタ!$A$4:$F$105,2,0),"")</f>
        <v/>
      </c>
      <c r="G62" s="14"/>
      <c r="H62" s="14"/>
      <c r="I62" s="26"/>
      <c r="J62" s="14"/>
    </row>
    <row r="63" spans="1:10" ht="19.5" customHeight="1">
      <c r="A63" s="15"/>
      <c r="B63" s="20"/>
      <c r="C63" s="21"/>
      <c r="D63" s="21"/>
      <c r="E63" s="22"/>
      <c r="F63" s="23" t="str">
        <f>IFERROR(VLOOKUP(E63,①顧客マスタ!$A$4:$F$105,2,0),"")</f>
        <v/>
      </c>
      <c r="G63" s="15"/>
      <c r="H63" s="15"/>
      <c r="I63" s="22"/>
      <c r="J63" s="15"/>
    </row>
    <row r="64" spans="1:10" ht="19.5" customHeight="1">
      <c r="A64" s="14"/>
      <c r="B64" s="24"/>
      <c r="C64" s="25"/>
      <c r="D64" s="25"/>
      <c r="E64" s="26"/>
      <c r="F64" s="27" t="str">
        <f>IFERROR(VLOOKUP(E64,①顧客マスタ!$A$4:$F$105,2,0),"")</f>
        <v/>
      </c>
      <c r="G64" s="14"/>
      <c r="H64" s="14"/>
      <c r="I64" s="26"/>
      <c r="J64" s="14"/>
    </row>
    <row r="65" spans="1:10" ht="19.5" customHeight="1">
      <c r="A65" s="15"/>
      <c r="B65" s="20"/>
      <c r="C65" s="21"/>
      <c r="D65" s="21"/>
      <c r="E65" s="22"/>
      <c r="F65" s="23" t="str">
        <f>IFERROR(VLOOKUP(E65,①顧客マスタ!$A$4:$F$105,2,0),"")</f>
        <v/>
      </c>
      <c r="G65" s="15"/>
      <c r="H65" s="15"/>
      <c r="I65" s="22"/>
      <c r="J65" s="15"/>
    </row>
    <row r="66" spans="1:10" ht="19.5" customHeight="1">
      <c r="A66" s="14"/>
      <c r="B66" s="24"/>
      <c r="C66" s="25"/>
      <c r="D66" s="25"/>
      <c r="E66" s="26"/>
      <c r="F66" s="27" t="str">
        <f>IFERROR(VLOOKUP(E66,①顧客マスタ!$A$4:$F$105,2,0),"")</f>
        <v/>
      </c>
      <c r="G66" s="14"/>
      <c r="H66" s="14"/>
      <c r="I66" s="26"/>
      <c r="J66" s="14"/>
    </row>
    <row r="67" spans="1:10" ht="19.5" customHeight="1">
      <c r="A67" s="15"/>
      <c r="B67" s="20"/>
      <c r="C67" s="21"/>
      <c r="D67" s="21"/>
      <c r="E67" s="22"/>
      <c r="F67" s="23" t="str">
        <f>IFERROR(VLOOKUP(E67,①顧客マスタ!$A$4:$F$105,2,0),"")</f>
        <v/>
      </c>
      <c r="G67" s="15"/>
      <c r="H67" s="15"/>
      <c r="I67" s="22"/>
      <c r="J67" s="15"/>
    </row>
    <row r="68" spans="1:10" ht="19.5" customHeight="1">
      <c r="A68" s="14"/>
      <c r="B68" s="24"/>
      <c r="C68" s="25"/>
      <c r="D68" s="25"/>
      <c r="E68" s="26"/>
      <c r="F68" s="27" t="str">
        <f>IFERROR(VLOOKUP(E68,①顧客マスタ!$A$4:$F$105,2,0),"")</f>
        <v/>
      </c>
      <c r="G68" s="14"/>
      <c r="H68" s="14"/>
      <c r="I68" s="26"/>
      <c r="J68" s="14"/>
    </row>
    <row r="69" spans="1:10" ht="19.5" customHeight="1">
      <c r="A69" s="15"/>
      <c r="B69" s="20"/>
      <c r="C69" s="21"/>
      <c r="D69" s="21"/>
      <c r="E69" s="22"/>
      <c r="F69" s="23" t="str">
        <f>IFERROR(VLOOKUP(E69,①顧客マスタ!$A$4:$F$105,2,0),"")</f>
        <v/>
      </c>
      <c r="G69" s="15"/>
      <c r="H69" s="15"/>
      <c r="I69" s="22"/>
      <c r="J69" s="15"/>
    </row>
    <row r="70" spans="1:10" ht="19.5" customHeight="1">
      <c r="A70" s="14"/>
      <c r="B70" s="24"/>
      <c r="C70" s="25"/>
      <c r="D70" s="25"/>
      <c r="E70" s="26"/>
      <c r="F70" s="27" t="str">
        <f>IFERROR(VLOOKUP(E70,①顧客マスタ!$A$4:$F$105,2,0),"")</f>
        <v/>
      </c>
      <c r="G70" s="14"/>
      <c r="H70" s="14"/>
      <c r="I70" s="26"/>
      <c r="J70" s="14"/>
    </row>
    <row r="71" spans="1:10" ht="19.5" customHeight="1">
      <c r="A71" s="15"/>
      <c r="B71" s="20"/>
      <c r="C71" s="21"/>
      <c r="D71" s="21"/>
      <c r="E71" s="22"/>
      <c r="F71" s="23" t="str">
        <f>IFERROR(VLOOKUP(E71,①顧客マスタ!$A$4:$F$105,2,0),"")</f>
        <v/>
      </c>
      <c r="G71" s="15"/>
      <c r="H71" s="15"/>
      <c r="I71" s="22"/>
      <c r="J71" s="15"/>
    </row>
    <row r="72" spans="1:10" ht="19.5" customHeight="1">
      <c r="A72" s="14"/>
      <c r="B72" s="24"/>
      <c r="C72" s="25"/>
      <c r="D72" s="25"/>
      <c r="E72" s="26"/>
      <c r="F72" s="27" t="str">
        <f>IFERROR(VLOOKUP(E72,①顧客マスタ!$A$4:$F$105,2,0),"")</f>
        <v/>
      </c>
      <c r="G72" s="14"/>
      <c r="H72" s="14"/>
      <c r="I72" s="26"/>
      <c r="J72" s="14"/>
    </row>
    <row r="73" spans="1:10" ht="19.5" customHeight="1">
      <c r="A73" s="15"/>
      <c r="B73" s="20"/>
      <c r="C73" s="21"/>
      <c r="D73" s="21"/>
      <c r="E73" s="22"/>
      <c r="F73" s="23" t="str">
        <f>IFERROR(VLOOKUP(E73,①顧客マスタ!$A$4:$F$105,2,0),"")</f>
        <v/>
      </c>
      <c r="G73" s="15"/>
      <c r="H73" s="15"/>
      <c r="I73" s="22"/>
      <c r="J73" s="15"/>
    </row>
    <row r="74" spans="1:10" ht="19.5" customHeight="1">
      <c r="A74" s="14"/>
      <c r="B74" s="24"/>
      <c r="C74" s="25"/>
      <c r="D74" s="25"/>
      <c r="E74" s="26"/>
      <c r="F74" s="27" t="str">
        <f>IFERROR(VLOOKUP(E74,①顧客マスタ!$A$4:$F$105,2,0),"")</f>
        <v/>
      </c>
      <c r="G74" s="14"/>
      <c r="H74" s="14"/>
      <c r="I74" s="26"/>
      <c r="J74" s="14"/>
    </row>
    <row r="75" spans="1:10" ht="19.5" customHeight="1">
      <c r="A75" s="15"/>
      <c r="B75" s="20"/>
      <c r="C75" s="21"/>
      <c r="D75" s="21"/>
      <c r="E75" s="22"/>
      <c r="F75" s="23" t="str">
        <f>IFERROR(VLOOKUP(E75,①顧客マスタ!$A$4:$F$105,2,0),"")</f>
        <v/>
      </c>
      <c r="G75" s="15"/>
      <c r="H75" s="15"/>
      <c r="I75" s="22"/>
      <c r="J75" s="15"/>
    </row>
    <row r="76" spans="1:10" ht="19.5" customHeight="1">
      <c r="A76" s="14"/>
      <c r="B76" s="24"/>
      <c r="C76" s="25"/>
      <c r="D76" s="25"/>
      <c r="E76" s="26"/>
      <c r="F76" s="27" t="str">
        <f>IFERROR(VLOOKUP(E76,①顧客マスタ!$A$4:$F$105,2,0),"")</f>
        <v/>
      </c>
      <c r="G76" s="14"/>
      <c r="H76" s="14"/>
      <c r="I76" s="26"/>
      <c r="J76" s="14"/>
    </row>
    <row r="77" spans="1:10" ht="19.5" customHeight="1">
      <c r="A77" s="15"/>
      <c r="B77" s="20"/>
      <c r="C77" s="21"/>
      <c r="D77" s="21"/>
      <c r="E77" s="22"/>
      <c r="F77" s="23" t="str">
        <f>IFERROR(VLOOKUP(E77,①顧客マスタ!$A$4:$F$105,2,0),"")</f>
        <v/>
      </c>
      <c r="G77" s="15"/>
      <c r="H77" s="15"/>
      <c r="I77" s="22"/>
      <c r="J77" s="15"/>
    </row>
    <row r="78" spans="1:10" ht="19.5" customHeight="1">
      <c r="A78" s="14"/>
      <c r="B78" s="24"/>
      <c r="C78" s="25"/>
      <c r="D78" s="25"/>
      <c r="E78" s="26"/>
      <c r="F78" s="27" t="str">
        <f>IFERROR(VLOOKUP(E78,①顧客マスタ!$A$4:$F$105,2,0),"")</f>
        <v/>
      </c>
      <c r="G78" s="14"/>
      <c r="H78" s="14"/>
      <c r="I78" s="26"/>
      <c r="J78" s="14"/>
    </row>
    <row r="79" spans="1:10" ht="19.5" customHeight="1">
      <c r="A79" s="15"/>
      <c r="B79" s="20"/>
      <c r="C79" s="21"/>
      <c r="D79" s="21"/>
      <c r="E79" s="22"/>
      <c r="F79" s="23" t="str">
        <f>IFERROR(VLOOKUP(E79,①顧客マスタ!$A$4:$F$105,2,0),"")</f>
        <v/>
      </c>
      <c r="G79" s="15"/>
      <c r="H79" s="15"/>
      <c r="I79" s="22"/>
      <c r="J79" s="15"/>
    </row>
    <row r="80" spans="1:10" ht="19.5" customHeight="1">
      <c r="A80" s="14"/>
      <c r="B80" s="24"/>
      <c r="C80" s="25"/>
      <c r="D80" s="25"/>
      <c r="E80" s="26"/>
      <c r="F80" s="27" t="str">
        <f>IFERROR(VLOOKUP(E80,①顧客マスタ!$A$4:$F$105,2,0),"")</f>
        <v/>
      </c>
      <c r="G80" s="14"/>
      <c r="H80" s="14"/>
      <c r="I80" s="26"/>
      <c r="J80" s="14"/>
    </row>
    <row r="81" spans="1:10" ht="19.5" customHeight="1">
      <c r="A81" s="15"/>
      <c r="B81" s="20"/>
      <c r="C81" s="21"/>
      <c r="D81" s="21"/>
      <c r="E81" s="22"/>
      <c r="F81" s="23" t="str">
        <f>IFERROR(VLOOKUP(E81,①顧客マスタ!$A$4:$F$105,2,0),"")</f>
        <v/>
      </c>
      <c r="G81" s="15"/>
      <c r="H81" s="15"/>
      <c r="I81" s="22"/>
      <c r="J81" s="15"/>
    </row>
    <row r="82" spans="1:10" ht="19.5" customHeight="1">
      <c r="A82" s="14"/>
      <c r="B82" s="24"/>
      <c r="C82" s="25"/>
      <c r="D82" s="25"/>
      <c r="E82" s="26"/>
      <c r="F82" s="27" t="str">
        <f>IFERROR(VLOOKUP(E82,①顧客マスタ!$A$4:$F$105,2,0),"")</f>
        <v/>
      </c>
      <c r="G82" s="14"/>
      <c r="H82" s="14"/>
      <c r="I82" s="26"/>
      <c r="J82" s="14"/>
    </row>
    <row r="83" spans="1:10" ht="19.5" customHeight="1">
      <c r="A83" s="15"/>
      <c r="B83" s="20"/>
      <c r="C83" s="21"/>
      <c r="D83" s="21"/>
      <c r="E83" s="22"/>
      <c r="F83" s="23" t="str">
        <f>IFERROR(VLOOKUP(E83,①顧客マスタ!$A$4:$F$105,2,0),"")</f>
        <v/>
      </c>
      <c r="G83" s="15"/>
      <c r="H83" s="15"/>
      <c r="I83" s="22"/>
      <c r="J83" s="15"/>
    </row>
    <row r="84" spans="1:10" ht="19.5" customHeight="1">
      <c r="A84" s="14"/>
      <c r="B84" s="24"/>
      <c r="C84" s="25"/>
      <c r="D84" s="25"/>
      <c r="E84" s="26"/>
      <c r="F84" s="27" t="str">
        <f>IFERROR(VLOOKUP(E84,①顧客マスタ!$A$4:$F$105,2,0),"")</f>
        <v/>
      </c>
      <c r="G84" s="14"/>
      <c r="H84" s="14"/>
      <c r="I84" s="26"/>
      <c r="J84" s="14"/>
    </row>
    <row r="85" spans="1:10" ht="19.5" customHeight="1">
      <c r="A85" s="15"/>
      <c r="B85" s="20"/>
      <c r="C85" s="21"/>
      <c r="D85" s="21"/>
      <c r="E85" s="22"/>
      <c r="F85" s="23" t="str">
        <f>IFERROR(VLOOKUP(E85,①顧客マスタ!$A$4:$F$105,2,0),"")</f>
        <v/>
      </c>
      <c r="G85" s="15"/>
      <c r="H85" s="15"/>
      <c r="I85" s="22"/>
      <c r="J85" s="15"/>
    </row>
    <row r="86" spans="1:10" ht="19.5" customHeight="1">
      <c r="A86" s="14"/>
      <c r="B86" s="24"/>
      <c r="C86" s="25"/>
      <c r="D86" s="25"/>
      <c r="E86" s="26"/>
      <c r="F86" s="27" t="str">
        <f>IFERROR(VLOOKUP(E86,①顧客マスタ!$A$4:$F$105,2,0),"")</f>
        <v/>
      </c>
      <c r="G86" s="14"/>
      <c r="H86" s="14"/>
      <c r="I86" s="26"/>
      <c r="J86" s="14"/>
    </row>
    <row r="87" spans="1:10" ht="19.5" customHeight="1">
      <c r="A87" s="15"/>
      <c r="B87" s="20"/>
      <c r="C87" s="21"/>
      <c r="D87" s="21"/>
      <c r="E87" s="22"/>
      <c r="F87" s="23" t="str">
        <f>IFERROR(VLOOKUP(E87,①顧客マスタ!$A$4:$F$105,2,0),"")</f>
        <v/>
      </c>
      <c r="G87" s="15"/>
      <c r="H87" s="15"/>
      <c r="I87" s="22"/>
      <c r="J87" s="15"/>
    </row>
    <row r="88" spans="1:10" ht="19.5" customHeight="1">
      <c r="A88" s="14"/>
      <c r="B88" s="24"/>
      <c r="C88" s="25"/>
      <c r="D88" s="25"/>
      <c r="E88" s="26"/>
      <c r="F88" s="27" t="str">
        <f>IFERROR(VLOOKUP(E88,①顧客マスタ!$A$4:$F$105,2,0),"")</f>
        <v/>
      </c>
      <c r="G88" s="14"/>
      <c r="H88" s="14"/>
      <c r="I88" s="26"/>
      <c r="J88" s="14"/>
    </row>
    <row r="89" spans="1:10" ht="19.5" customHeight="1">
      <c r="A89" s="15"/>
      <c r="B89" s="20"/>
      <c r="C89" s="21"/>
      <c r="D89" s="21"/>
      <c r="E89" s="22"/>
      <c r="F89" s="23" t="str">
        <f>IFERROR(VLOOKUP(E89,①顧客マスタ!$A$4:$F$105,2,0),"")</f>
        <v/>
      </c>
      <c r="G89" s="15"/>
      <c r="H89" s="15"/>
      <c r="I89" s="22"/>
      <c r="J89" s="15"/>
    </row>
    <row r="90" spans="1:10" ht="19.5" customHeight="1">
      <c r="A90" s="14"/>
      <c r="B90" s="24"/>
      <c r="C90" s="25"/>
      <c r="D90" s="25"/>
      <c r="E90" s="26"/>
      <c r="F90" s="27" t="str">
        <f>IFERROR(VLOOKUP(E90,①顧客マスタ!$A$4:$F$105,2,0),"")</f>
        <v/>
      </c>
      <c r="G90" s="14"/>
      <c r="H90" s="14"/>
      <c r="I90" s="26"/>
      <c r="J90" s="14"/>
    </row>
    <row r="91" spans="1:10" ht="19.5" customHeight="1">
      <c r="A91" s="15"/>
      <c r="B91" s="20"/>
      <c r="C91" s="21"/>
      <c r="D91" s="21"/>
      <c r="E91" s="22"/>
      <c r="F91" s="23" t="str">
        <f>IFERROR(VLOOKUP(E91,①顧客マスタ!$A$4:$F$105,2,0),"")</f>
        <v/>
      </c>
      <c r="G91" s="15"/>
      <c r="H91" s="15"/>
      <c r="I91" s="22"/>
      <c r="J91" s="15"/>
    </row>
    <row r="92" spans="1:10" ht="19.5" customHeight="1">
      <c r="A92" s="14"/>
      <c r="B92" s="24"/>
      <c r="C92" s="25"/>
      <c r="D92" s="25"/>
      <c r="E92" s="26"/>
      <c r="F92" s="27" t="str">
        <f>IFERROR(VLOOKUP(E92,①顧客マスタ!$A$4:$F$105,2,0),"")</f>
        <v/>
      </c>
      <c r="G92" s="14"/>
      <c r="H92" s="14"/>
      <c r="I92" s="26"/>
      <c r="J92" s="14"/>
    </row>
    <row r="93" spans="1:10" ht="19.5" customHeight="1">
      <c r="A93" s="15"/>
      <c r="B93" s="20"/>
      <c r="C93" s="21"/>
      <c r="D93" s="21"/>
      <c r="E93" s="22"/>
      <c r="F93" s="23" t="str">
        <f>IFERROR(VLOOKUP(E93,①顧客マスタ!$A$4:$F$105,2,0),"")</f>
        <v/>
      </c>
      <c r="G93" s="15"/>
      <c r="H93" s="15"/>
      <c r="I93" s="22"/>
      <c r="J93" s="15"/>
    </row>
    <row r="94" spans="1:10" ht="19.5" customHeight="1">
      <c r="A94" s="14"/>
      <c r="B94" s="24"/>
      <c r="C94" s="25"/>
      <c r="D94" s="25"/>
      <c r="E94" s="26"/>
      <c r="F94" s="27" t="str">
        <f>IFERROR(VLOOKUP(E94,①顧客マスタ!$A$4:$F$105,2,0),"")</f>
        <v/>
      </c>
      <c r="G94" s="14"/>
      <c r="H94" s="14"/>
      <c r="I94" s="26"/>
      <c r="J94" s="14"/>
    </row>
    <row r="95" spans="1:10" ht="19.5" customHeight="1">
      <c r="A95" s="15"/>
      <c r="B95" s="20"/>
      <c r="C95" s="21"/>
      <c r="D95" s="21"/>
      <c r="E95" s="22"/>
      <c r="F95" s="23" t="str">
        <f>IFERROR(VLOOKUP(E95,①顧客マスタ!$A$4:$F$105,2,0),"")</f>
        <v/>
      </c>
      <c r="G95" s="15"/>
      <c r="H95" s="15"/>
      <c r="I95" s="22"/>
      <c r="J95" s="15"/>
    </row>
    <row r="96" spans="1:10" ht="19.5" customHeight="1">
      <c r="A96" s="14"/>
      <c r="B96" s="24"/>
      <c r="C96" s="25"/>
      <c r="D96" s="25"/>
      <c r="E96" s="26"/>
      <c r="F96" s="27" t="str">
        <f>IFERROR(VLOOKUP(E96,①顧客マスタ!$A$4:$F$105,2,0),"")</f>
        <v/>
      </c>
      <c r="G96" s="14"/>
      <c r="H96" s="14"/>
      <c r="I96" s="26"/>
      <c r="J96" s="14"/>
    </row>
    <row r="97" spans="1:10" ht="19.5" customHeight="1">
      <c r="A97" s="15"/>
      <c r="B97" s="20"/>
      <c r="C97" s="21"/>
      <c r="D97" s="21"/>
      <c r="E97" s="22"/>
      <c r="F97" s="23" t="str">
        <f>IFERROR(VLOOKUP(E97,①顧客マスタ!$A$4:$F$105,2,0),"")</f>
        <v/>
      </c>
      <c r="G97" s="15"/>
      <c r="H97" s="15"/>
      <c r="I97" s="22"/>
      <c r="J97" s="15"/>
    </row>
    <row r="98" spans="1:10" ht="19.5" customHeight="1">
      <c r="A98" s="14"/>
      <c r="B98" s="24"/>
      <c r="C98" s="25"/>
      <c r="D98" s="25"/>
      <c r="E98" s="26"/>
      <c r="F98" s="27" t="str">
        <f>IFERROR(VLOOKUP(E98,①顧客マスタ!$A$4:$F$105,2,0),"")</f>
        <v/>
      </c>
      <c r="G98" s="14"/>
      <c r="H98" s="14"/>
      <c r="I98" s="26"/>
      <c r="J98" s="14"/>
    </row>
    <row r="99" spans="1:10" ht="19.5" customHeight="1">
      <c r="A99" s="15"/>
      <c r="B99" s="20"/>
      <c r="C99" s="21"/>
      <c r="D99" s="21"/>
      <c r="E99" s="22"/>
      <c r="F99" s="23" t="str">
        <f>IFERROR(VLOOKUP(E99,①顧客マスタ!$A$4:$F$105,2,0),"")</f>
        <v/>
      </c>
      <c r="G99" s="15"/>
      <c r="H99" s="15"/>
      <c r="I99" s="22"/>
      <c r="J99" s="15"/>
    </row>
    <row r="100" spans="1:10" ht="19.5" customHeight="1">
      <c r="A100" s="14"/>
      <c r="B100" s="24"/>
      <c r="C100" s="25"/>
      <c r="D100" s="25"/>
      <c r="E100" s="26"/>
      <c r="F100" s="27" t="str">
        <f>IFERROR(VLOOKUP(E100,①顧客マスタ!$A$4:$F$105,2,0),"")</f>
        <v/>
      </c>
      <c r="G100" s="14"/>
      <c r="H100" s="14"/>
      <c r="I100" s="26"/>
      <c r="J100" s="14"/>
    </row>
    <row r="101" spans="1:10" ht="19.5" customHeight="1">
      <c r="A101" s="15"/>
      <c r="B101" s="20"/>
      <c r="C101" s="21"/>
      <c r="D101" s="21"/>
      <c r="E101" s="22"/>
      <c r="F101" s="23" t="str">
        <f>IFERROR(VLOOKUP(E101,①顧客マスタ!$A$4:$F$105,2,0),"")</f>
        <v/>
      </c>
      <c r="G101" s="15"/>
      <c r="H101" s="15"/>
      <c r="I101" s="22"/>
      <c r="J101" s="15"/>
    </row>
    <row r="102" spans="1:10" ht="19.5" customHeight="1">
      <c r="A102" s="14"/>
      <c r="B102" s="24"/>
      <c r="C102" s="25"/>
      <c r="D102" s="25"/>
      <c r="E102" s="26"/>
      <c r="F102" s="27" t="str">
        <f>IFERROR(VLOOKUP(E102,①顧客マスタ!$A$4:$F$105,2,0),"")</f>
        <v/>
      </c>
      <c r="G102" s="14"/>
      <c r="H102" s="14"/>
      <c r="I102" s="26"/>
      <c r="J102" s="14"/>
    </row>
    <row r="103" spans="1:10" ht="19.5" customHeight="1">
      <c r="A103" s="15"/>
      <c r="B103" s="20"/>
      <c r="C103" s="21"/>
      <c r="D103" s="21"/>
      <c r="E103" s="22"/>
      <c r="F103" s="23" t="str">
        <f>IFERROR(VLOOKUP(E103,①顧客マスタ!$A$4:$F$105,2,0),"")</f>
        <v/>
      </c>
      <c r="G103" s="15"/>
      <c r="H103" s="15"/>
      <c r="I103" s="22"/>
      <c r="J103" s="15"/>
    </row>
    <row r="104" spans="1:10" ht="19.5" customHeight="1">
      <c r="A104" s="14"/>
      <c r="B104" s="24"/>
      <c r="C104" s="25"/>
      <c r="D104" s="25"/>
      <c r="E104" s="26"/>
      <c r="F104" s="27" t="str">
        <f>IFERROR(VLOOKUP(E104,①顧客マスタ!$A$4:$F$105,2,0),"")</f>
        <v/>
      </c>
      <c r="G104" s="14"/>
      <c r="H104" s="14"/>
      <c r="I104" s="26"/>
      <c r="J104" s="14"/>
    </row>
    <row r="105" spans="1:10" ht="19.5" customHeight="1">
      <c r="A105" s="15"/>
      <c r="B105" s="20"/>
      <c r="C105" s="21"/>
      <c r="D105" s="21"/>
      <c r="E105" s="22"/>
      <c r="F105" s="23" t="str">
        <f>IFERROR(VLOOKUP(E105,①顧客マスタ!$A$4:$F$105,2,0),"")</f>
        <v/>
      </c>
      <c r="G105" s="15"/>
      <c r="H105" s="15"/>
      <c r="I105" s="22"/>
      <c r="J105" s="15"/>
    </row>
    <row r="106" spans="1:10" ht="19.5" customHeight="1">
      <c r="A106" s="14"/>
      <c r="B106" s="24"/>
      <c r="C106" s="25"/>
      <c r="D106" s="25"/>
      <c r="E106" s="26"/>
      <c r="F106" s="27" t="str">
        <f>IFERROR(VLOOKUP(E106,①顧客マスタ!$A$4:$F$105,2,0),"")</f>
        <v/>
      </c>
      <c r="G106" s="14"/>
      <c r="H106" s="14"/>
      <c r="I106" s="26"/>
      <c r="J106" s="14"/>
    </row>
    <row r="107" spans="1:10" ht="19.5" customHeight="1">
      <c r="A107" s="15"/>
      <c r="B107" s="20"/>
      <c r="C107" s="21"/>
      <c r="D107" s="21"/>
      <c r="E107" s="22"/>
      <c r="F107" s="23" t="str">
        <f>IFERROR(VLOOKUP(E107,①顧客マスタ!$A$4:$F$105,2,0),"")</f>
        <v/>
      </c>
      <c r="G107" s="15"/>
      <c r="H107" s="15"/>
      <c r="I107" s="22"/>
      <c r="J107" s="15"/>
    </row>
    <row r="108" spans="1:10" ht="19.5" customHeight="1">
      <c r="A108" s="14"/>
      <c r="B108" s="24"/>
      <c r="C108" s="25"/>
      <c r="D108" s="25"/>
      <c r="E108" s="26"/>
      <c r="F108" s="27" t="str">
        <f>IFERROR(VLOOKUP(E108,①顧客マスタ!$A$4:$F$105,2,0),"")</f>
        <v/>
      </c>
      <c r="G108" s="14"/>
      <c r="H108" s="14"/>
      <c r="I108" s="26"/>
      <c r="J108" s="14"/>
    </row>
    <row r="109" spans="1:10" ht="19.5" customHeight="1">
      <c r="A109" s="15"/>
      <c r="B109" s="20"/>
      <c r="C109" s="21"/>
      <c r="D109" s="21"/>
      <c r="E109" s="22"/>
      <c r="F109" s="23" t="str">
        <f>IFERROR(VLOOKUP(E109,①顧客マスタ!$A$4:$F$105,2,0),"")</f>
        <v/>
      </c>
      <c r="G109" s="15"/>
      <c r="H109" s="15"/>
      <c r="I109" s="22"/>
      <c r="J109" s="15"/>
    </row>
    <row r="110" spans="1:10" ht="19.5" customHeight="1">
      <c r="A110" s="14"/>
      <c r="B110" s="24"/>
      <c r="C110" s="25"/>
      <c r="D110" s="25"/>
      <c r="E110" s="26"/>
      <c r="F110" s="27" t="str">
        <f>IFERROR(VLOOKUP(E110,①顧客マスタ!$A$4:$F$105,2,0),"")</f>
        <v/>
      </c>
      <c r="G110" s="14"/>
      <c r="H110" s="14"/>
      <c r="I110" s="26"/>
      <c r="J110" s="14"/>
    </row>
    <row r="111" spans="1:10" ht="19.5" customHeight="1">
      <c r="A111" s="15"/>
      <c r="B111" s="20"/>
      <c r="C111" s="21"/>
      <c r="D111" s="21"/>
      <c r="E111" s="22"/>
      <c r="F111" s="23" t="str">
        <f>IFERROR(VLOOKUP(E111,①顧客マスタ!$A$4:$F$105,2,0),"")</f>
        <v/>
      </c>
      <c r="G111" s="15"/>
      <c r="H111" s="15"/>
      <c r="I111" s="22"/>
      <c r="J111" s="15"/>
    </row>
    <row r="112" spans="1:10" ht="19.5" customHeight="1">
      <c r="A112" s="14"/>
      <c r="B112" s="24"/>
      <c r="C112" s="25"/>
      <c r="D112" s="25"/>
      <c r="E112" s="26"/>
      <c r="F112" s="27" t="str">
        <f>IFERROR(VLOOKUP(E112,①顧客マスタ!$A$4:$F$105,2,0),"")</f>
        <v/>
      </c>
      <c r="G112" s="14"/>
      <c r="H112" s="14"/>
      <c r="I112" s="26"/>
      <c r="J112" s="14"/>
    </row>
    <row r="113" spans="1:10" ht="19.5" customHeight="1">
      <c r="A113" s="15"/>
      <c r="B113" s="20"/>
      <c r="C113" s="21"/>
      <c r="D113" s="21"/>
      <c r="E113" s="22"/>
      <c r="F113" s="23" t="str">
        <f>IFERROR(VLOOKUP(E113,①顧客マスタ!$A$4:$F$105,2,0),"")</f>
        <v/>
      </c>
      <c r="G113" s="15"/>
      <c r="H113" s="15"/>
      <c r="I113" s="22"/>
      <c r="J113" s="15"/>
    </row>
    <row r="114" spans="1:10" ht="19.5" customHeight="1">
      <c r="A114" s="14"/>
      <c r="B114" s="24"/>
      <c r="C114" s="25"/>
      <c r="D114" s="25"/>
      <c r="E114" s="26"/>
      <c r="F114" s="27" t="str">
        <f>IFERROR(VLOOKUP(E114,①顧客マスタ!$A$4:$F$105,2,0),"")</f>
        <v/>
      </c>
      <c r="G114" s="14"/>
      <c r="H114" s="14"/>
      <c r="I114" s="26"/>
      <c r="J114" s="14"/>
    </row>
    <row r="115" spans="1:10" ht="19.5" customHeight="1">
      <c r="A115" s="15"/>
      <c r="B115" s="20"/>
      <c r="C115" s="21"/>
      <c r="D115" s="21"/>
      <c r="E115" s="22"/>
      <c r="F115" s="23" t="str">
        <f>IFERROR(VLOOKUP(E115,①顧客マスタ!$A$4:$F$105,2,0),"")</f>
        <v/>
      </c>
      <c r="G115" s="15"/>
      <c r="H115" s="15"/>
      <c r="I115" s="22"/>
      <c r="J115" s="15"/>
    </row>
    <row r="116" spans="1:10" ht="19.5" customHeight="1">
      <c r="A116" s="14"/>
      <c r="B116" s="24"/>
      <c r="C116" s="25"/>
      <c r="D116" s="25"/>
      <c r="E116" s="26"/>
      <c r="F116" s="27" t="str">
        <f>IFERROR(VLOOKUP(E116,①顧客マスタ!$A$4:$F$105,2,0),"")</f>
        <v/>
      </c>
      <c r="G116" s="14"/>
      <c r="H116" s="14"/>
      <c r="I116" s="26"/>
      <c r="J116" s="14"/>
    </row>
    <row r="117" spans="1:10" ht="19.5" customHeight="1">
      <c r="A117" s="15"/>
      <c r="B117" s="20"/>
      <c r="C117" s="21"/>
      <c r="D117" s="21"/>
      <c r="E117" s="22"/>
      <c r="F117" s="23" t="str">
        <f>IFERROR(VLOOKUP(E117,①顧客マスタ!$A$4:$F$105,2,0),"")</f>
        <v/>
      </c>
      <c r="G117" s="15"/>
      <c r="H117" s="15"/>
      <c r="I117" s="22"/>
      <c r="J117" s="15"/>
    </row>
    <row r="118" spans="1:10" ht="19.5" customHeight="1">
      <c r="A118" s="14"/>
      <c r="B118" s="24"/>
      <c r="C118" s="25"/>
      <c r="D118" s="25"/>
      <c r="E118" s="26"/>
      <c r="F118" s="27" t="str">
        <f>IFERROR(VLOOKUP(E118,①顧客マスタ!$A$4:$F$105,2,0),"")</f>
        <v/>
      </c>
      <c r="G118" s="14"/>
      <c r="H118" s="14"/>
      <c r="I118" s="26"/>
      <c r="J118" s="14"/>
    </row>
    <row r="119" spans="1:10" ht="19.5" customHeight="1">
      <c r="A119" s="15"/>
      <c r="B119" s="20"/>
      <c r="C119" s="21"/>
      <c r="D119" s="21"/>
      <c r="E119" s="22"/>
      <c r="F119" s="23" t="str">
        <f>IFERROR(VLOOKUP(E119,①顧客マスタ!$A$4:$F$105,2,0),"")</f>
        <v/>
      </c>
      <c r="G119" s="15"/>
      <c r="H119" s="15"/>
      <c r="I119" s="22"/>
      <c r="J119" s="15"/>
    </row>
    <row r="120" spans="1:10" ht="19.5" customHeight="1">
      <c r="A120" s="14"/>
      <c r="B120" s="24"/>
      <c r="C120" s="25"/>
      <c r="D120" s="25"/>
      <c r="E120" s="26"/>
      <c r="F120" s="27" t="str">
        <f>IFERROR(VLOOKUP(E120,①顧客マスタ!$A$4:$F$105,2,0),"")</f>
        <v/>
      </c>
      <c r="G120" s="14"/>
      <c r="H120" s="14"/>
      <c r="I120" s="26"/>
      <c r="J120" s="14"/>
    </row>
    <row r="121" spans="1:10" ht="19.5" customHeight="1">
      <c r="A121" s="15"/>
      <c r="B121" s="20"/>
      <c r="C121" s="21"/>
      <c r="D121" s="21"/>
      <c r="E121" s="22"/>
      <c r="F121" s="23" t="str">
        <f>IFERROR(VLOOKUP(E121,①顧客マスタ!$A$4:$F$105,2,0),"")</f>
        <v/>
      </c>
      <c r="G121" s="15"/>
      <c r="H121" s="15"/>
      <c r="I121" s="22"/>
      <c r="J121" s="15"/>
    </row>
    <row r="122" spans="1:10" ht="19.5" customHeight="1">
      <c r="A122" s="14"/>
      <c r="B122" s="24"/>
      <c r="C122" s="25"/>
      <c r="D122" s="25"/>
      <c r="E122" s="26"/>
      <c r="F122" s="27" t="str">
        <f>IFERROR(VLOOKUP(E122,①顧客マスタ!$A$4:$F$105,2,0),"")</f>
        <v/>
      </c>
      <c r="G122" s="14"/>
      <c r="H122" s="14"/>
      <c r="I122" s="26"/>
      <c r="J122" s="14"/>
    </row>
    <row r="123" spans="1:10" ht="19.5" customHeight="1">
      <c r="A123" s="15"/>
      <c r="B123" s="20"/>
      <c r="C123" s="21"/>
      <c r="D123" s="21"/>
      <c r="E123" s="22"/>
      <c r="F123" s="23" t="str">
        <f>IFERROR(VLOOKUP(E123,①顧客マスタ!$A$4:$F$105,2,0),"")</f>
        <v/>
      </c>
      <c r="G123" s="15"/>
      <c r="H123" s="15"/>
      <c r="I123" s="22"/>
      <c r="J123" s="15"/>
    </row>
    <row r="124" spans="1:10" ht="19.5" customHeight="1">
      <c r="A124" s="14"/>
      <c r="B124" s="24"/>
      <c r="C124" s="25"/>
      <c r="D124" s="25"/>
      <c r="E124" s="26"/>
      <c r="F124" s="27" t="str">
        <f>IFERROR(VLOOKUP(E124,①顧客マスタ!$A$4:$F$105,2,0),"")</f>
        <v/>
      </c>
      <c r="G124" s="14"/>
      <c r="H124" s="14"/>
      <c r="I124" s="26"/>
      <c r="J124" s="14"/>
    </row>
    <row r="125" spans="1:10" ht="19.5" customHeight="1">
      <c r="A125" s="15"/>
      <c r="B125" s="20"/>
      <c r="C125" s="21"/>
      <c r="D125" s="21"/>
      <c r="E125" s="22"/>
      <c r="F125" s="23" t="str">
        <f>IFERROR(VLOOKUP(E125,①顧客マスタ!$A$4:$F$105,2,0),"")</f>
        <v/>
      </c>
      <c r="G125" s="15"/>
      <c r="H125" s="15"/>
      <c r="I125" s="22"/>
      <c r="J125" s="15"/>
    </row>
    <row r="126" spans="1:10" ht="19.5" customHeight="1">
      <c r="A126" s="14"/>
      <c r="B126" s="24"/>
      <c r="C126" s="25"/>
      <c r="D126" s="25"/>
      <c r="E126" s="26"/>
      <c r="F126" s="27" t="str">
        <f>IFERROR(VLOOKUP(E126,①顧客マスタ!$A$4:$F$105,2,0),"")</f>
        <v/>
      </c>
      <c r="G126" s="14"/>
      <c r="H126" s="14"/>
      <c r="I126" s="26"/>
      <c r="J126" s="14"/>
    </row>
    <row r="127" spans="1:10" ht="19.5" customHeight="1">
      <c r="A127" s="15"/>
      <c r="B127" s="20"/>
      <c r="C127" s="21"/>
      <c r="D127" s="21"/>
      <c r="E127" s="22"/>
      <c r="F127" s="23" t="str">
        <f>IFERROR(VLOOKUP(E127,①顧客マスタ!$A$4:$F$105,2,0),"")</f>
        <v/>
      </c>
      <c r="G127" s="15"/>
      <c r="H127" s="15"/>
      <c r="I127" s="22"/>
      <c r="J127" s="15"/>
    </row>
    <row r="128" spans="1:10" ht="19.5" customHeight="1">
      <c r="A128" s="14"/>
      <c r="B128" s="24"/>
      <c r="C128" s="25"/>
      <c r="D128" s="25"/>
      <c r="E128" s="26"/>
      <c r="F128" s="27" t="str">
        <f>IFERROR(VLOOKUP(E128,①顧客マスタ!$A$4:$F$105,2,0),"")</f>
        <v/>
      </c>
      <c r="G128" s="14"/>
      <c r="H128" s="14"/>
      <c r="I128" s="26"/>
      <c r="J128" s="14"/>
    </row>
    <row r="129" spans="1:10" ht="19.5" customHeight="1">
      <c r="A129" s="15"/>
      <c r="B129" s="20"/>
      <c r="C129" s="21"/>
      <c r="D129" s="21"/>
      <c r="E129" s="22"/>
      <c r="F129" s="23" t="str">
        <f>IFERROR(VLOOKUP(E129,①顧客マスタ!$A$4:$F$105,2,0),"")</f>
        <v/>
      </c>
      <c r="G129" s="15"/>
      <c r="H129" s="15"/>
      <c r="I129" s="22"/>
      <c r="J129" s="15"/>
    </row>
    <row r="130" spans="1:10" ht="19.5" customHeight="1">
      <c r="A130" s="14"/>
      <c r="B130" s="24"/>
      <c r="C130" s="25"/>
      <c r="D130" s="25"/>
      <c r="E130" s="26"/>
      <c r="F130" s="27" t="str">
        <f>IFERROR(VLOOKUP(E130,①顧客マスタ!$A$4:$F$105,2,0),"")</f>
        <v/>
      </c>
      <c r="G130" s="14"/>
      <c r="H130" s="14"/>
      <c r="I130" s="26"/>
      <c r="J130" s="14"/>
    </row>
    <row r="131" spans="1:10" ht="19.5" customHeight="1">
      <c r="A131" s="15"/>
      <c r="B131" s="20"/>
      <c r="C131" s="21"/>
      <c r="D131" s="21"/>
      <c r="E131" s="22"/>
      <c r="F131" s="23" t="str">
        <f>IFERROR(VLOOKUP(E131,①顧客マスタ!$A$4:$F$105,2,0),"")</f>
        <v/>
      </c>
      <c r="G131" s="15"/>
      <c r="H131" s="15"/>
      <c r="I131" s="22"/>
      <c r="J131" s="15"/>
    </row>
    <row r="132" spans="1:10" ht="19.5" customHeight="1">
      <c r="A132" s="14"/>
      <c r="B132" s="24"/>
      <c r="C132" s="25"/>
      <c r="D132" s="25"/>
      <c r="E132" s="26"/>
      <c r="F132" s="27" t="str">
        <f>IFERROR(VLOOKUP(E132,①顧客マスタ!$A$4:$F$105,2,0),"")</f>
        <v/>
      </c>
      <c r="G132" s="14"/>
      <c r="H132" s="14"/>
      <c r="I132" s="26"/>
      <c r="J132" s="14"/>
    </row>
    <row r="133" spans="1:10" ht="19.5" customHeight="1">
      <c r="A133" s="15"/>
      <c r="B133" s="20"/>
      <c r="C133" s="21"/>
      <c r="D133" s="21"/>
      <c r="E133" s="22"/>
      <c r="F133" s="23" t="str">
        <f>IFERROR(VLOOKUP(E133,①顧客マスタ!$A$4:$F$105,2,0),"")</f>
        <v/>
      </c>
      <c r="G133" s="15"/>
      <c r="H133" s="15"/>
      <c r="I133" s="22"/>
      <c r="J133" s="15"/>
    </row>
    <row r="134" spans="1:10" ht="19.5" customHeight="1">
      <c r="A134" s="14"/>
      <c r="B134" s="24"/>
      <c r="C134" s="25"/>
      <c r="D134" s="25"/>
      <c r="E134" s="26"/>
      <c r="F134" s="27" t="str">
        <f>IFERROR(VLOOKUP(E134,①顧客マスタ!$A$4:$F$105,2,0),"")</f>
        <v/>
      </c>
      <c r="G134" s="14"/>
      <c r="H134" s="14"/>
      <c r="I134" s="26"/>
      <c r="J134" s="14"/>
    </row>
    <row r="135" spans="1:10" ht="19.5" customHeight="1">
      <c r="A135" s="15"/>
      <c r="B135" s="20"/>
      <c r="C135" s="21"/>
      <c r="D135" s="21"/>
      <c r="E135" s="22"/>
      <c r="F135" s="23" t="str">
        <f>IFERROR(VLOOKUP(E135,①顧客マスタ!$A$4:$F$105,2,0),"")</f>
        <v/>
      </c>
      <c r="G135" s="15"/>
      <c r="H135" s="15"/>
      <c r="I135" s="22"/>
      <c r="J135" s="15"/>
    </row>
    <row r="136" spans="1:10" ht="19.5" customHeight="1">
      <c r="A136" s="14"/>
      <c r="B136" s="24"/>
      <c r="C136" s="25"/>
      <c r="D136" s="25"/>
      <c r="E136" s="26"/>
      <c r="F136" s="27" t="str">
        <f>IFERROR(VLOOKUP(E136,①顧客マスタ!$A$4:$F$105,2,0),"")</f>
        <v/>
      </c>
      <c r="G136" s="14"/>
      <c r="H136" s="14"/>
      <c r="I136" s="26"/>
      <c r="J136" s="14"/>
    </row>
    <row r="137" spans="1:10" ht="19.5" customHeight="1">
      <c r="A137" s="15"/>
      <c r="B137" s="20"/>
      <c r="C137" s="21"/>
      <c r="D137" s="21"/>
      <c r="E137" s="22"/>
      <c r="F137" s="23" t="str">
        <f>IFERROR(VLOOKUP(E137,①顧客マスタ!$A$4:$F$105,2,0),"")</f>
        <v/>
      </c>
      <c r="G137" s="15"/>
      <c r="H137" s="15"/>
      <c r="I137" s="22"/>
      <c r="J137" s="15"/>
    </row>
    <row r="138" spans="1:10" ht="19.5" customHeight="1">
      <c r="A138" s="14"/>
      <c r="B138" s="24"/>
      <c r="C138" s="25"/>
      <c r="D138" s="25"/>
      <c r="E138" s="26"/>
      <c r="F138" s="27" t="str">
        <f>IFERROR(VLOOKUP(E138,①顧客マスタ!$A$4:$F$105,2,0),"")</f>
        <v/>
      </c>
      <c r="G138" s="14"/>
      <c r="H138" s="14"/>
      <c r="I138" s="26"/>
      <c r="J138" s="14"/>
    </row>
    <row r="139" spans="1:10" ht="19.5" customHeight="1">
      <c r="A139" s="15"/>
      <c r="B139" s="20"/>
      <c r="C139" s="21"/>
      <c r="D139" s="21"/>
      <c r="E139" s="22"/>
      <c r="F139" s="23" t="str">
        <f>IFERROR(VLOOKUP(E139,①顧客マスタ!$A$4:$F$105,2,0),"")</f>
        <v/>
      </c>
      <c r="G139" s="15"/>
      <c r="H139" s="15"/>
      <c r="I139" s="22"/>
      <c r="J139" s="15"/>
    </row>
    <row r="140" spans="1:10" ht="19.5" customHeight="1">
      <c r="A140" s="14"/>
      <c r="B140" s="24"/>
      <c r="C140" s="25"/>
      <c r="D140" s="25"/>
      <c r="E140" s="26"/>
      <c r="F140" s="27" t="str">
        <f>IFERROR(VLOOKUP(E140,①顧客マスタ!$A$4:$F$105,2,0),"")</f>
        <v/>
      </c>
      <c r="G140" s="14"/>
      <c r="H140" s="14"/>
      <c r="I140" s="26"/>
      <c r="J140" s="14"/>
    </row>
    <row r="141" spans="1:10" ht="19.5" customHeight="1">
      <c r="A141" s="15"/>
      <c r="B141" s="20"/>
      <c r="C141" s="21"/>
      <c r="D141" s="21"/>
      <c r="E141" s="22"/>
      <c r="F141" s="23" t="str">
        <f>IFERROR(VLOOKUP(E141,①顧客マスタ!$A$4:$F$105,2,0),"")</f>
        <v/>
      </c>
      <c r="G141" s="15"/>
      <c r="H141" s="15"/>
      <c r="I141" s="22"/>
      <c r="J141" s="15"/>
    </row>
    <row r="142" spans="1:10" ht="19.5" customHeight="1">
      <c r="A142" s="14"/>
      <c r="B142" s="24"/>
      <c r="C142" s="25"/>
      <c r="D142" s="25"/>
      <c r="E142" s="26"/>
      <c r="F142" s="27" t="str">
        <f>IFERROR(VLOOKUP(E142,①顧客マスタ!$A$4:$F$105,2,0),"")</f>
        <v/>
      </c>
      <c r="G142" s="14"/>
      <c r="H142" s="14"/>
      <c r="I142" s="26"/>
      <c r="J142" s="14"/>
    </row>
    <row r="143" spans="1:10" ht="19.5" customHeight="1">
      <c r="A143" s="15"/>
      <c r="B143" s="20"/>
      <c r="C143" s="21"/>
      <c r="D143" s="21"/>
      <c r="E143" s="22"/>
      <c r="F143" s="23" t="str">
        <f>IFERROR(VLOOKUP(E143,①顧客マスタ!$A$4:$F$105,2,0),"")</f>
        <v/>
      </c>
      <c r="G143" s="15"/>
      <c r="H143" s="15"/>
      <c r="I143" s="22"/>
      <c r="J143" s="15"/>
    </row>
    <row r="144" spans="1:10" ht="19.5" customHeight="1">
      <c r="A144" s="14"/>
      <c r="B144" s="24"/>
      <c r="C144" s="25"/>
      <c r="D144" s="25"/>
      <c r="E144" s="26"/>
      <c r="F144" s="27" t="str">
        <f>IFERROR(VLOOKUP(E144,①顧客マスタ!$A$4:$F$105,2,0),"")</f>
        <v/>
      </c>
      <c r="G144" s="14"/>
      <c r="H144" s="14"/>
      <c r="I144" s="26"/>
      <c r="J144" s="14"/>
    </row>
    <row r="145" spans="1:10" ht="19.5" customHeight="1">
      <c r="A145" s="15"/>
      <c r="B145" s="20"/>
      <c r="C145" s="21"/>
      <c r="D145" s="21"/>
      <c r="E145" s="22"/>
      <c r="F145" s="23" t="str">
        <f>IFERROR(VLOOKUP(E145,①顧客マスタ!$A$4:$F$105,2,0),"")</f>
        <v/>
      </c>
      <c r="G145" s="15"/>
      <c r="H145" s="15"/>
      <c r="I145" s="22"/>
      <c r="J145" s="15"/>
    </row>
    <row r="146" spans="1:10" ht="19.5" customHeight="1">
      <c r="A146" s="14"/>
      <c r="B146" s="24"/>
      <c r="C146" s="25"/>
      <c r="D146" s="25"/>
      <c r="E146" s="26"/>
      <c r="F146" s="27" t="str">
        <f>IFERROR(VLOOKUP(E146,①顧客マスタ!$A$4:$F$105,2,0),"")</f>
        <v/>
      </c>
      <c r="G146" s="14"/>
      <c r="H146" s="14"/>
      <c r="I146" s="26"/>
      <c r="J146" s="14"/>
    </row>
    <row r="147" spans="1:10" ht="19.5" customHeight="1">
      <c r="A147" s="15"/>
      <c r="B147" s="20"/>
      <c r="C147" s="21"/>
      <c r="D147" s="21"/>
      <c r="E147" s="22"/>
      <c r="F147" s="23" t="str">
        <f>IFERROR(VLOOKUP(E147,①顧客マスタ!$A$4:$F$105,2,0),"")</f>
        <v/>
      </c>
      <c r="G147" s="15"/>
      <c r="H147" s="15"/>
      <c r="I147" s="22"/>
      <c r="J147" s="15"/>
    </row>
    <row r="148" spans="1:10" ht="19.5" customHeight="1">
      <c r="A148" s="14"/>
      <c r="B148" s="24"/>
      <c r="C148" s="25"/>
      <c r="D148" s="25"/>
      <c r="E148" s="26"/>
      <c r="F148" s="27" t="str">
        <f>IFERROR(VLOOKUP(E148,①顧客マスタ!$A$4:$F$105,2,0),"")</f>
        <v/>
      </c>
      <c r="G148" s="14"/>
      <c r="H148" s="14"/>
      <c r="I148" s="26"/>
      <c r="J148" s="14"/>
    </row>
    <row r="149" spans="1:10" ht="19.5" customHeight="1">
      <c r="A149" s="15"/>
      <c r="B149" s="20"/>
      <c r="C149" s="21"/>
      <c r="D149" s="21"/>
      <c r="E149" s="22"/>
      <c r="F149" s="23" t="str">
        <f>IFERROR(VLOOKUP(E149,①顧客マスタ!$A$4:$F$105,2,0),"")</f>
        <v/>
      </c>
      <c r="G149" s="15"/>
      <c r="H149" s="15"/>
      <c r="I149" s="22"/>
      <c r="J149" s="15"/>
    </row>
    <row r="150" spans="1:10" ht="19.5" customHeight="1">
      <c r="A150" s="14"/>
      <c r="B150" s="24"/>
      <c r="C150" s="25"/>
      <c r="D150" s="25"/>
      <c r="E150" s="26"/>
      <c r="F150" s="27" t="str">
        <f>IFERROR(VLOOKUP(E150,①顧客マスタ!$A$4:$F$105,2,0),"")</f>
        <v/>
      </c>
      <c r="G150" s="14"/>
      <c r="H150" s="14"/>
      <c r="I150" s="26"/>
      <c r="J150" s="14"/>
    </row>
    <row r="151" spans="1:10" ht="19.5" customHeight="1">
      <c r="A151" s="15"/>
      <c r="B151" s="20"/>
      <c r="C151" s="21"/>
      <c r="D151" s="21"/>
      <c r="E151" s="22"/>
      <c r="F151" s="23" t="str">
        <f>IFERROR(VLOOKUP(E151,①顧客マスタ!$A$4:$F$105,2,0),"")</f>
        <v/>
      </c>
      <c r="G151" s="15"/>
      <c r="H151" s="15"/>
      <c r="I151" s="22"/>
      <c r="J151" s="15"/>
    </row>
    <row r="152" spans="1:10" ht="19.5" customHeight="1">
      <c r="A152" s="14"/>
      <c r="B152" s="24"/>
      <c r="C152" s="25"/>
      <c r="D152" s="25"/>
      <c r="E152" s="26"/>
      <c r="F152" s="27" t="str">
        <f>IFERROR(VLOOKUP(E152,①顧客マスタ!$A$4:$F$105,2,0),"")</f>
        <v/>
      </c>
      <c r="G152" s="14"/>
      <c r="H152" s="14"/>
      <c r="I152" s="26"/>
      <c r="J152" s="14"/>
    </row>
    <row r="153" spans="1:10" ht="19.5" customHeight="1">
      <c r="A153" s="15"/>
      <c r="B153" s="20"/>
      <c r="C153" s="21"/>
      <c r="D153" s="21"/>
      <c r="E153" s="22"/>
      <c r="F153" s="23" t="str">
        <f>IFERROR(VLOOKUP(E153,①顧客マスタ!$A$4:$F$105,2,0),"")</f>
        <v/>
      </c>
      <c r="G153" s="15"/>
      <c r="H153" s="15"/>
      <c r="I153" s="22"/>
      <c r="J153" s="15"/>
    </row>
    <row r="154" spans="1:10" ht="19.5" customHeight="1">
      <c r="A154" s="14"/>
      <c r="B154" s="24"/>
      <c r="C154" s="25"/>
      <c r="D154" s="25"/>
      <c r="E154" s="26"/>
      <c r="F154" s="27" t="str">
        <f>IFERROR(VLOOKUP(E154,①顧客マスタ!$A$4:$F$105,2,0),"")</f>
        <v/>
      </c>
      <c r="G154" s="14"/>
      <c r="H154" s="14"/>
      <c r="I154" s="26"/>
      <c r="J154" s="14"/>
    </row>
    <row r="155" spans="1:10" ht="19.5" customHeight="1">
      <c r="A155" s="15"/>
      <c r="B155" s="20"/>
      <c r="C155" s="21"/>
      <c r="D155" s="21"/>
      <c r="E155" s="22"/>
      <c r="F155" s="23" t="str">
        <f>IFERROR(VLOOKUP(E155,①顧客マスタ!$A$4:$F$105,2,0),"")</f>
        <v/>
      </c>
      <c r="G155" s="15"/>
      <c r="H155" s="15"/>
      <c r="I155" s="22"/>
      <c r="J155" s="15"/>
    </row>
    <row r="156" spans="1:10" ht="19.5" customHeight="1">
      <c r="A156" s="14"/>
      <c r="B156" s="24"/>
      <c r="C156" s="25"/>
      <c r="D156" s="25"/>
      <c r="E156" s="26"/>
      <c r="F156" s="27" t="str">
        <f>IFERROR(VLOOKUP(E156,①顧客マスタ!$A$4:$F$105,2,0),"")</f>
        <v/>
      </c>
      <c r="G156" s="14"/>
      <c r="H156" s="14"/>
      <c r="I156" s="26"/>
      <c r="J156" s="14"/>
    </row>
    <row r="157" spans="1:10" ht="19.5" customHeight="1">
      <c r="A157" s="15"/>
      <c r="B157" s="20"/>
      <c r="C157" s="21"/>
      <c r="D157" s="21"/>
      <c r="E157" s="22"/>
      <c r="F157" s="23" t="str">
        <f>IFERROR(VLOOKUP(E157,①顧客マスタ!$A$4:$F$105,2,0),"")</f>
        <v/>
      </c>
      <c r="G157" s="15"/>
      <c r="H157" s="15"/>
      <c r="I157" s="22"/>
      <c r="J157" s="15"/>
    </row>
    <row r="158" spans="1:10" ht="19.5" customHeight="1">
      <c r="A158" s="14"/>
      <c r="B158" s="24"/>
      <c r="C158" s="25"/>
      <c r="D158" s="25"/>
      <c r="E158" s="26"/>
      <c r="F158" s="27" t="str">
        <f>IFERROR(VLOOKUP(E158,①顧客マスタ!$A$4:$F$105,2,0),"")</f>
        <v/>
      </c>
      <c r="G158" s="14"/>
      <c r="H158" s="14"/>
      <c r="I158" s="26"/>
      <c r="J158" s="14"/>
    </row>
    <row r="159" spans="1:10" ht="19.5" customHeight="1">
      <c r="A159" s="15"/>
      <c r="B159" s="20"/>
      <c r="C159" s="21"/>
      <c r="D159" s="21"/>
      <c r="E159" s="22"/>
      <c r="F159" s="23" t="str">
        <f>IFERROR(VLOOKUP(E159,①顧客マスタ!$A$4:$F$105,2,0),"")</f>
        <v/>
      </c>
      <c r="G159" s="15"/>
      <c r="H159" s="15"/>
      <c r="I159" s="22"/>
      <c r="J159" s="15"/>
    </row>
    <row r="160" spans="1:10" ht="19.5" customHeight="1">
      <c r="A160" s="14"/>
      <c r="B160" s="24"/>
      <c r="C160" s="25"/>
      <c r="D160" s="25"/>
      <c r="E160" s="26"/>
      <c r="F160" s="27" t="str">
        <f>IFERROR(VLOOKUP(E160,①顧客マスタ!$A$4:$F$105,2,0),"")</f>
        <v/>
      </c>
      <c r="G160" s="14"/>
      <c r="H160" s="14"/>
      <c r="I160" s="26"/>
      <c r="J160" s="14"/>
    </row>
    <row r="161" spans="1:10" ht="19.5" customHeight="1">
      <c r="A161" s="15"/>
      <c r="B161" s="20"/>
      <c r="C161" s="21"/>
      <c r="D161" s="21"/>
      <c r="E161" s="22"/>
      <c r="F161" s="23" t="str">
        <f>IFERROR(VLOOKUP(E161,①顧客マスタ!$A$4:$F$105,2,0),"")</f>
        <v/>
      </c>
      <c r="G161" s="15"/>
      <c r="H161" s="15"/>
      <c r="I161" s="22"/>
      <c r="J161" s="15"/>
    </row>
    <row r="162" spans="1:10" ht="19.5" customHeight="1">
      <c r="A162" s="14"/>
      <c r="B162" s="24"/>
      <c r="C162" s="25"/>
      <c r="D162" s="25"/>
      <c r="E162" s="26"/>
      <c r="F162" s="27" t="str">
        <f>IFERROR(VLOOKUP(E162,①顧客マスタ!$A$4:$F$105,2,0),"")</f>
        <v/>
      </c>
      <c r="G162" s="14"/>
      <c r="H162" s="14"/>
      <c r="I162" s="26"/>
      <c r="J162" s="14"/>
    </row>
    <row r="163" spans="1:10" ht="19.5" customHeight="1">
      <c r="A163" s="15"/>
      <c r="B163" s="20"/>
      <c r="C163" s="21"/>
      <c r="D163" s="21"/>
      <c r="E163" s="22"/>
      <c r="F163" s="23" t="str">
        <f>IFERROR(VLOOKUP(E163,①顧客マスタ!$A$4:$F$105,2,0),"")</f>
        <v/>
      </c>
      <c r="G163" s="15"/>
      <c r="H163" s="15"/>
      <c r="I163" s="22"/>
      <c r="J163" s="15"/>
    </row>
    <row r="164" spans="1:10" ht="19.5" customHeight="1">
      <c r="A164" s="14"/>
      <c r="B164" s="24"/>
      <c r="C164" s="25"/>
      <c r="D164" s="25"/>
      <c r="E164" s="26"/>
      <c r="F164" s="27" t="str">
        <f>IFERROR(VLOOKUP(E164,①顧客マスタ!$A$4:$F$105,2,0),"")</f>
        <v/>
      </c>
      <c r="G164" s="14"/>
      <c r="H164" s="14"/>
      <c r="I164" s="26"/>
      <c r="J164" s="14"/>
    </row>
    <row r="165" spans="1:10" ht="19.5" customHeight="1">
      <c r="A165" s="15"/>
      <c r="B165" s="20"/>
      <c r="C165" s="21"/>
      <c r="D165" s="21"/>
      <c r="E165" s="22"/>
      <c r="F165" s="23" t="str">
        <f>IFERROR(VLOOKUP(E165,①顧客マスタ!$A$4:$F$105,2,0),"")</f>
        <v/>
      </c>
      <c r="G165" s="15"/>
      <c r="H165" s="15"/>
      <c r="I165" s="22"/>
      <c r="J165" s="15"/>
    </row>
    <row r="166" spans="1:10" ht="19.5" customHeight="1">
      <c r="A166" s="14"/>
      <c r="B166" s="24"/>
      <c r="C166" s="25"/>
      <c r="D166" s="25"/>
      <c r="E166" s="26"/>
      <c r="F166" s="27" t="str">
        <f>IFERROR(VLOOKUP(E166,①顧客マスタ!$A$4:$F$105,2,0),"")</f>
        <v/>
      </c>
      <c r="G166" s="14"/>
      <c r="H166" s="14"/>
      <c r="I166" s="26"/>
      <c r="J166" s="14"/>
    </row>
    <row r="167" spans="1:10" ht="19.5" customHeight="1">
      <c r="A167" s="15"/>
      <c r="B167" s="20"/>
      <c r="C167" s="21"/>
      <c r="D167" s="21"/>
      <c r="E167" s="22"/>
      <c r="F167" s="23" t="str">
        <f>IFERROR(VLOOKUP(E167,①顧客マスタ!$A$4:$F$105,2,0),"")</f>
        <v/>
      </c>
      <c r="G167" s="15"/>
      <c r="H167" s="15"/>
      <c r="I167" s="22"/>
      <c r="J167" s="15"/>
    </row>
    <row r="168" spans="1:10" ht="19.5" customHeight="1">
      <c r="A168" s="14"/>
      <c r="B168" s="24"/>
      <c r="C168" s="25"/>
      <c r="D168" s="25"/>
      <c r="E168" s="26"/>
      <c r="F168" s="27" t="str">
        <f>IFERROR(VLOOKUP(E168,①顧客マスタ!$A$4:$F$105,2,0),"")</f>
        <v/>
      </c>
      <c r="G168" s="14"/>
      <c r="H168" s="14"/>
      <c r="I168" s="26"/>
      <c r="J168" s="14"/>
    </row>
    <row r="169" spans="1:10" ht="19.5" customHeight="1">
      <c r="A169" s="15"/>
      <c r="B169" s="20"/>
      <c r="C169" s="21"/>
      <c r="D169" s="21"/>
      <c r="E169" s="22"/>
      <c r="F169" s="23" t="str">
        <f>IFERROR(VLOOKUP(E169,①顧客マスタ!$A$4:$F$105,2,0),"")</f>
        <v/>
      </c>
      <c r="G169" s="15"/>
      <c r="H169" s="15"/>
      <c r="I169" s="22"/>
      <c r="J169" s="15"/>
    </row>
    <row r="170" spans="1:10" ht="19.5" customHeight="1">
      <c r="A170" s="14"/>
      <c r="B170" s="24"/>
      <c r="C170" s="25"/>
      <c r="D170" s="25"/>
      <c r="E170" s="26"/>
      <c r="F170" s="27" t="str">
        <f>IFERROR(VLOOKUP(E170,①顧客マスタ!$A$4:$F$105,2,0),"")</f>
        <v/>
      </c>
      <c r="G170" s="14"/>
      <c r="H170" s="14"/>
      <c r="I170" s="26"/>
      <c r="J170" s="14"/>
    </row>
    <row r="171" spans="1:10" ht="19.5" customHeight="1">
      <c r="A171" s="15"/>
      <c r="B171" s="20"/>
      <c r="C171" s="21"/>
      <c r="D171" s="21"/>
      <c r="E171" s="22"/>
      <c r="F171" s="23" t="str">
        <f>IFERROR(VLOOKUP(E171,①顧客マスタ!$A$4:$F$105,2,0),"")</f>
        <v/>
      </c>
      <c r="G171" s="15"/>
      <c r="H171" s="15"/>
      <c r="I171" s="22"/>
      <c r="J171" s="15"/>
    </row>
    <row r="172" spans="1:10" ht="19.5" customHeight="1">
      <c r="A172" s="14"/>
      <c r="B172" s="24"/>
      <c r="C172" s="25"/>
      <c r="D172" s="25"/>
      <c r="E172" s="26"/>
      <c r="F172" s="27" t="str">
        <f>IFERROR(VLOOKUP(E172,①顧客マスタ!$A$4:$F$105,2,0),"")</f>
        <v/>
      </c>
      <c r="G172" s="14"/>
      <c r="H172" s="14"/>
      <c r="I172" s="26"/>
      <c r="J172" s="14"/>
    </row>
    <row r="173" spans="1:10" ht="19.5" customHeight="1">
      <c r="A173" s="15"/>
      <c r="B173" s="20"/>
      <c r="C173" s="21"/>
      <c r="D173" s="21"/>
      <c r="E173" s="22"/>
      <c r="F173" s="23" t="str">
        <f>IFERROR(VLOOKUP(E173,①顧客マスタ!$A$4:$F$105,2,0),"")</f>
        <v/>
      </c>
      <c r="G173" s="15"/>
      <c r="H173" s="15"/>
      <c r="I173" s="22"/>
      <c r="J173" s="15"/>
    </row>
    <row r="174" spans="1:10" ht="19.5" customHeight="1">
      <c r="A174" s="14"/>
      <c r="B174" s="24"/>
      <c r="C174" s="25"/>
      <c r="D174" s="25"/>
      <c r="E174" s="26"/>
      <c r="F174" s="27" t="str">
        <f>IFERROR(VLOOKUP(E174,①顧客マスタ!$A$4:$F$105,2,0),"")</f>
        <v/>
      </c>
      <c r="G174" s="14"/>
      <c r="H174" s="14"/>
      <c r="I174" s="26"/>
      <c r="J174" s="14"/>
    </row>
    <row r="175" spans="1:10" ht="19.5" customHeight="1">
      <c r="A175" s="15"/>
      <c r="B175" s="20"/>
      <c r="C175" s="21"/>
      <c r="D175" s="21"/>
      <c r="E175" s="22"/>
      <c r="F175" s="23" t="str">
        <f>IFERROR(VLOOKUP(E175,①顧客マスタ!$A$4:$F$105,2,0),"")</f>
        <v/>
      </c>
      <c r="G175" s="15"/>
      <c r="H175" s="15"/>
      <c r="I175" s="22"/>
      <c r="J175" s="15"/>
    </row>
    <row r="176" spans="1:10" ht="19.5" customHeight="1">
      <c r="A176" s="14"/>
      <c r="B176" s="24"/>
      <c r="C176" s="25"/>
      <c r="D176" s="25"/>
      <c r="E176" s="26"/>
      <c r="F176" s="27" t="str">
        <f>IFERROR(VLOOKUP(E176,①顧客マスタ!$A$4:$F$105,2,0),"")</f>
        <v/>
      </c>
      <c r="G176" s="14"/>
      <c r="H176" s="14"/>
      <c r="I176" s="26"/>
      <c r="J176" s="14"/>
    </row>
    <row r="177" spans="1:10" ht="19.5" customHeight="1">
      <c r="A177" s="15"/>
      <c r="B177" s="20"/>
      <c r="C177" s="21"/>
      <c r="D177" s="21"/>
      <c r="E177" s="22"/>
      <c r="F177" s="23" t="str">
        <f>IFERROR(VLOOKUP(E177,①顧客マスタ!$A$4:$F$105,2,0),"")</f>
        <v/>
      </c>
      <c r="G177" s="15"/>
      <c r="H177" s="15"/>
      <c r="I177" s="22"/>
      <c r="J177" s="15"/>
    </row>
    <row r="178" spans="1:10" ht="19.5" customHeight="1">
      <c r="A178" s="14"/>
      <c r="B178" s="24"/>
      <c r="C178" s="25"/>
      <c r="D178" s="25"/>
      <c r="E178" s="26"/>
      <c r="F178" s="27" t="str">
        <f>IFERROR(VLOOKUP(E178,①顧客マスタ!$A$4:$F$105,2,0),"")</f>
        <v/>
      </c>
      <c r="G178" s="14"/>
      <c r="H178" s="14"/>
      <c r="I178" s="26"/>
      <c r="J178" s="14"/>
    </row>
    <row r="179" spans="1:10" ht="19.5" customHeight="1">
      <c r="A179" s="15"/>
      <c r="B179" s="20"/>
      <c r="C179" s="21"/>
      <c r="D179" s="21"/>
      <c r="E179" s="22"/>
      <c r="F179" s="23" t="str">
        <f>IFERROR(VLOOKUP(E179,①顧客マスタ!$A$4:$F$105,2,0),"")</f>
        <v/>
      </c>
      <c r="G179" s="15"/>
      <c r="H179" s="15"/>
      <c r="I179" s="22"/>
      <c r="J179" s="15"/>
    </row>
    <row r="180" spans="1:10" ht="19.5" customHeight="1">
      <c r="A180" s="14"/>
      <c r="B180" s="24"/>
      <c r="C180" s="25"/>
      <c r="D180" s="25"/>
      <c r="E180" s="26"/>
      <c r="F180" s="27" t="str">
        <f>IFERROR(VLOOKUP(E180,①顧客マスタ!$A$4:$F$105,2,0),"")</f>
        <v/>
      </c>
      <c r="G180" s="14"/>
      <c r="H180" s="14"/>
      <c r="I180" s="26"/>
      <c r="J180" s="14"/>
    </row>
    <row r="181" spans="1:10" ht="19.5" customHeight="1">
      <c r="A181" s="15"/>
      <c r="B181" s="20"/>
      <c r="C181" s="21"/>
      <c r="D181" s="21"/>
      <c r="E181" s="22"/>
      <c r="F181" s="23" t="str">
        <f>IFERROR(VLOOKUP(E181,①顧客マスタ!$A$4:$F$105,2,0),"")</f>
        <v/>
      </c>
      <c r="G181" s="15"/>
      <c r="H181" s="15"/>
      <c r="I181" s="22"/>
      <c r="J181" s="15"/>
    </row>
    <row r="182" spans="1:10" ht="19.5" customHeight="1">
      <c r="A182" s="14"/>
      <c r="B182" s="24"/>
      <c r="C182" s="25"/>
      <c r="D182" s="25"/>
      <c r="E182" s="26"/>
      <c r="F182" s="27" t="str">
        <f>IFERROR(VLOOKUP(E182,①顧客マスタ!$A$4:$F$105,2,0),"")</f>
        <v/>
      </c>
      <c r="G182" s="14"/>
      <c r="H182" s="14"/>
      <c r="I182" s="26"/>
      <c r="J182" s="14"/>
    </row>
    <row r="183" spans="1:10" ht="19.5" customHeight="1">
      <c r="A183" s="15"/>
      <c r="B183" s="20"/>
      <c r="C183" s="21"/>
      <c r="D183" s="21"/>
      <c r="E183" s="22"/>
      <c r="F183" s="23" t="str">
        <f>IFERROR(VLOOKUP(E183,①顧客マスタ!$A$4:$F$105,2,0),"")</f>
        <v/>
      </c>
      <c r="G183" s="15"/>
      <c r="H183" s="15"/>
      <c r="I183" s="22"/>
      <c r="J183" s="15"/>
    </row>
    <row r="184" spans="1:10" ht="19.5" customHeight="1">
      <c r="A184" s="14"/>
      <c r="B184" s="24"/>
      <c r="C184" s="25"/>
      <c r="D184" s="25"/>
      <c r="E184" s="26"/>
      <c r="F184" s="27" t="str">
        <f>IFERROR(VLOOKUP(E184,①顧客マスタ!$A$4:$F$105,2,0),"")</f>
        <v/>
      </c>
      <c r="G184" s="14"/>
      <c r="H184" s="14"/>
      <c r="I184" s="26"/>
      <c r="J184" s="14"/>
    </row>
    <row r="185" spans="1:10" ht="19.5" customHeight="1">
      <c r="A185" s="15"/>
      <c r="B185" s="20"/>
      <c r="C185" s="21"/>
      <c r="D185" s="21"/>
      <c r="E185" s="22"/>
      <c r="F185" s="23" t="str">
        <f>IFERROR(VLOOKUP(E185,①顧客マスタ!$A$4:$F$105,2,0),"")</f>
        <v/>
      </c>
      <c r="G185" s="15"/>
      <c r="H185" s="15"/>
      <c r="I185" s="22"/>
      <c r="J185" s="15"/>
    </row>
    <row r="186" spans="1:10" ht="19.5" customHeight="1">
      <c r="A186" s="14"/>
      <c r="B186" s="24"/>
      <c r="C186" s="25"/>
      <c r="D186" s="25"/>
      <c r="E186" s="26"/>
      <c r="F186" s="27" t="str">
        <f>IFERROR(VLOOKUP(E186,①顧客マスタ!$A$4:$F$105,2,0),"")</f>
        <v/>
      </c>
      <c r="G186" s="14"/>
      <c r="H186" s="14"/>
      <c r="I186" s="26"/>
      <c r="J186" s="14"/>
    </row>
    <row r="187" spans="1:10" ht="19.5" customHeight="1">
      <c r="A187" s="15"/>
      <c r="B187" s="20"/>
      <c r="C187" s="21"/>
      <c r="D187" s="21"/>
      <c r="E187" s="22"/>
      <c r="F187" s="23" t="str">
        <f>IFERROR(VLOOKUP(E187,①顧客マスタ!$A$4:$F$105,2,0),"")</f>
        <v/>
      </c>
      <c r="G187" s="15"/>
      <c r="H187" s="15"/>
      <c r="I187" s="22"/>
      <c r="J187" s="15"/>
    </row>
    <row r="188" spans="1:10" ht="19.5" customHeight="1">
      <c r="A188" s="14"/>
      <c r="B188" s="24"/>
      <c r="C188" s="25"/>
      <c r="D188" s="25"/>
      <c r="E188" s="26"/>
      <c r="F188" s="27" t="str">
        <f>IFERROR(VLOOKUP(E188,①顧客マスタ!$A$4:$F$105,2,0),"")</f>
        <v/>
      </c>
      <c r="G188" s="14"/>
      <c r="H188" s="14"/>
      <c r="I188" s="26"/>
      <c r="J188" s="14"/>
    </row>
    <row r="189" spans="1:10" ht="19.5" customHeight="1">
      <c r="A189" s="15"/>
      <c r="B189" s="20"/>
      <c r="C189" s="21"/>
      <c r="D189" s="21"/>
      <c r="E189" s="22"/>
      <c r="F189" s="23" t="str">
        <f>IFERROR(VLOOKUP(E189,①顧客マスタ!$A$4:$F$105,2,0),"")</f>
        <v/>
      </c>
      <c r="G189" s="15"/>
      <c r="H189" s="15"/>
      <c r="I189" s="22"/>
      <c r="J189" s="15"/>
    </row>
    <row r="190" spans="1:10" ht="19.5" customHeight="1">
      <c r="A190" s="14"/>
      <c r="B190" s="24"/>
      <c r="C190" s="25"/>
      <c r="D190" s="25"/>
      <c r="E190" s="26"/>
      <c r="F190" s="27" t="str">
        <f>IFERROR(VLOOKUP(E190,①顧客マスタ!$A$4:$F$105,2,0),"")</f>
        <v/>
      </c>
      <c r="G190" s="14"/>
      <c r="H190" s="14"/>
      <c r="I190" s="26"/>
      <c r="J190" s="14"/>
    </row>
    <row r="191" spans="1:10" ht="19.5" customHeight="1">
      <c r="A191" s="15"/>
      <c r="B191" s="20"/>
      <c r="C191" s="21"/>
      <c r="D191" s="21"/>
      <c r="E191" s="22"/>
      <c r="F191" s="23" t="str">
        <f>IFERROR(VLOOKUP(E191,①顧客マスタ!$A$4:$F$105,2,0),"")</f>
        <v/>
      </c>
      <c r="G191" s="15"/>
      <c r="H191" s="15"/>
      <c r="I191" s="22"/>
      <c r="J191" s="15"/>
    </row>
    <row r="192" spans="1:10" ht="19.5" customHeight="1">
      <c r="A192" s="14"/>
      <c r="B192" s="24"/>
      <c r="C192" s="25"/>
      <c r="D192" s="25"/>
      <c r="E192" s="26"/>
      <c r="F192" s="27" t="str">
        <f>IFERROR(VLOOKUP(E192,①顧客マスタ!$A$4:$F$105,2,0),"")</f>
        <v/>
      </c>
      <c r="G192" s="14"/>
      <c r="H192" s="14"/>
      <c r="I192" s="26"/>
      <c r="J192" s="14"/>
    </row>
    <row r="193" spans="1:10" ht="19.5" customHeight="1">
      <c r="A193" s="15"/>
      <c r="B193" s="20"/>
      <c r="C193" s="21"/>
      <c r="D193" s="21"/>
      <c r="E193" s="22"/>
      <c r="F193" s="23" t="str">
        <f>IFERROR(VLOOKUP(E193,①顧客マスタ!$A$4:$F$105,2,0),"")</f>
        <v/>
      </c>
      <c r="G193" s="15"/>
      <c r="H193" s="15"/>
      <c r="I193" s="22"/>
      <c r="J193" s="15"/>
    </row>
    <row r="194" spans="1:10" ht="19.5" customHeight="1">
      <c r="A194" s="14"/>
      <c r="B194" s="24"/>
      <c r="C194" s="25"/>
      <c r="D194" s="25"/>
      <c r="E194" s="26"/>
      <c r="F194" s="27" t="str">
        <f>IFERROR(VLOOKUP(E194,①顧客マスタ!$A$4:$F$105,2,0),"")</f>
        <v/>
      </c>
      <c r="G194" s="14"/>
      <c r="H194" s="14"/>
      <c r="I194" s="26"/>
      <c r="J194" s="14"/>
    </row>
    <row r="195" spans="1:10" ht="19.5" customHeight="1">
      <c r="A195" s="15"/>
      <c r="B195" s="20"/>
      <c r="C195" s="21"/>
      <c r="D195" s="21"/>
      <c r="E195" s="22"/>
      <c r="F195" s="23" t="str">
        <f>IFERROR(VLOOKUP(E195,①顧客マスタ!$A$4:$F$105,2,0),"")</f>
        <v/>
      </c>
      <c r="G195" s="15"/>
      <c r="H195" s="15"/>
      <c r="I195" s="22"/>
      <c r="J195" s="15"/>
    </row>
    <row r="196" spans="1:10" ht="19.5" customHeight="1">
      <c r="A196" s="14"/>
      <c r="B196" s="24"/>
      <c r="C196" s="25"/>
      <c r="D196" s="25"/>
      <c r="E196" s="26"/>
      <c r="F196" s="27" t="str">
        <f>IFERROR(VLOOKUP(E196,①顧客マスタ!$A$4:$F$105,2,0),"")</f>
        <v/>
      </c>
      <c r="G196" s="14"/>
      <c r="H196" s="14"/>
      <c r="I196" s="26"/>
      <c r="J196" s="14"/>
    </row>
    <row r="197" spans="1:10" ht="19.5" customHeight="1">
      <c r="A197" s="15"/>
      <c r="B197" s="20"/>
      <c r="C197" s="21"/>
      <c r="D197" s="21"/>
      <c r="E197" s="22"/>
      <c r="F197" s="23" t="str">
        <f>IFERROR(VLOOKUP(E197,①顧客マスタ!$A$4:$F$105,2,0),"")</f>
        <v/>
      </c>
      <c r="G197" s="15"/>
      <c r="H197" s="15"/>
      <c r="I197" s="22"/>
      <c r="J197" s="15"/>
    </row>
    <row r="198" spans="1:10" ht="19.5" customHeight="1">
      <c r="A198" s="14"/>
      <c r="B198" s="24"/>
      <c r="C198" s="25"/>
      <c r="D198" s="25"/>
      <c r="E198" s="26"/>
      <c r="F198" s="27" t="str">
        <f>IFERROR(VLOOKUP(E198,①顧客マスタ!$A$4:$F$105,2,0),"")</f>
        <v/>
      </c>
      <c r="G198" s="14"/>
      <c r="H198" s="14"/>
      <c r="I198" s="26"/>
      <c r="J198" s="14"/>
    </row>
    <row r="199" spans="1:10" ht="19.5" customHeight="1">
      <c r="A199" s="15"/>
      <c r="B199" s="20"/>
      <c r="C199" s="21"/>
      <c r="D199" s="21"/>
      <c r="E199" s="22"/>
      <c r="F199" s="23" t="str">
        <f>IFERROR(VLOOKUP(E199,①顧客マスタ!$A$4:$F$105,2,0),"")</f>
        <v/>
      </c>
      <c r="G199" s="15"/>
      <c r="H199" s="15"/>
      <c r="I199" s="22"/>
      <c r="J199" s="15"/>
    </row>
    <row r="200" spans="1:10" ht="19.5" customHeight="1">
      <c r="A200" s="14"/>
      <c r="B200" s="24"/>
      <c r="C200" s="25"/>
      <c r="D200" s="25"/>
      <c r="E200" s="26"/>
      <c r="F200" s="27" t="str">
        <f>IFERROR(VLOOKUP(E200,①顧客マスタ!$A$4:$F$105,2,0),"")</f>
        <v/>
      </c>
      <c r="G200" s="14"/>
      <c r="H200" s="14"/>
      <c r="I200" s="26"/>
      <c r="J200" s="14"/>
    </row>
    <row r="201" spans="1:10" ht="19.5" customHeight="1">
      <c r="A201" s="15"/>
      <c r="B201" s="20"/>
      <c r="C201" s="21"/>
      <c r="D201" s="21"/>
      <c r="E201" s="22"/>
      <c r="F201" s="23" t="str">
        <f>IFERROR(VLOOKUP(E201,①顧客マスタ!$A$4:$F$105,2,0),"")</f>
        <v/>
      </c>
      <c r="G201" s="15"/>
      <c r="H201" s="15"/>
      <c r="I201" s="22"/>
      <c r="J201" s="15"/>
    </row>
    <row r="202" spans="1:10" ht="19.5" customHeight="1">
      <c r="A202" s="14"/>
      <c r="B202" s="24"/>
      <c r="C202" s="25"/>
      <c r="D202" s="25"/>
      <c r="E202" s="26"/>
      <c r="F202" s="27" t="str">
        <f>IFERROR(VLOOKUP(E202,①顧客マスタ!$A$4:$F$105,2,0),"")</f>
        <v/>
      </c>
      <c r="G202" s="14"/>
      <c r="H202" s="14"/>
      <c r="I202" s="26"/>
      <c r="J202" s="14"/>
    </row>
    <row r="203" spans="1:10" ht="19.5" customHeight="1">
      <c r="A203" s="15"/>
      <c r="B203" s="20"/>
      <c r="C203" s="21"/>
      <c r="D203" s="21"/>
      <c r="E203" s="22"/>
      <c r="F203" s="23" t="str">
        <f>IFERROR(VLOOKUP(E203,①顧客マスタ!$A$4:$F$105,2,0),"")</f>
        <v/>
      </c>
      <c r="G203" s="15"/>
      <c r="H203" s="15"/>
      <c r="I203" s="22"/>
      <c r="J203" s="15"/>
    </row>
    <row r="204" spans="1:10" ht="19.5" customHeight="1">
      <c r="A204" s="14"/>
      <c r="B204" s="24"/>
      <c r="C204" s="25"/>
      <c r="D204" s="25"/>
      <c r="E204" s="26"/>
      <c r="F204" s="27" t="str">
        <f>IFERROR(VLOOKUP(E204,①顧客マスタ!$A$4:$F$105,2,0),"")</f>
        <v/>
      </c>
      <c r="G204" s="14"/>
      <c r="H204" s="14"/>
      <c r="I204" s="26"/>
      <c r="J204" s="14"/>
    </row>
    <row r="205" spans="1:10" ht="19.5" customHeight="1">
      <c r="A205" s="15"/>
      <c r="B205" s="20"/>
      <c r="C205" s="21"/>
      <c r="D205" s="21"/>
      <c r="E205" s="22"/>
      <c r="F205" s="23" t="str">
        <f>IFERROR(VLOOKUP(E205,①顧客マスタ!$A$4:$F$105,2,0),"")</f>
        <v/>
      </c>
      <c r="G205" s="15"/>
      <c r="H205" s="15"/>
      <c r="I205" s="22"/>
      <c r="J205" s="15"/>
    </row>
    <row r="206" spans="1:10" ht="19.5" customHeight="1">
      <c r="A206" s="14"/>
      <c r="B206" s="24"/>
      <c r="C206" s="25"/>
      <c r="D206" s="25"/>
      <c r="E206" s="26"/>
      <c r="F206" s="27" t="str">
        <f>IFERROR(VLOOKUP(E206,①顧客マスタ!$A$4:$F$105,2,0),"")</f>
        <v/>
      </c>
      <c r="G206" s="14"/>
      <c r="H206" s="14"/>
      <c r="I206" s="26"/>
      <c r="J206" s="14"/>
    </row>
  </sheetData>
  <mergeCells count="2">
    <mergeCell ref="A1:J1"/>
    <mergeCell ref="A2:J2"/>
  </mergeCells>
  <phoneticPr fontId="27"/>
  <conditionalFormatting sqref="I4:I206">
    <cfRule type="cellIs" dxfId="9" priority="2" operator="equal">
      <formula>"完了"</formula>
    </cfRule>
    <cfRule type="cellIs" dxfId="8" priority="3" operator="equal">
      <formula>"キャンセル"</formula>
    </cfRule>
    <cfRule type="cellIs" dxfId="7" priority="4" operator="equal">
      <formula>"仮予約"</formula>
    </cfRule>
  </conditionalFormatting>
  <dataValidations count="2">
    <dataValidation type="list" allowBlank="1" sqref="G7:G206" xr:uid="{00000000-0002-0000-0200-000000000000}">
      <formula1>"カット,カラー,パーマ,トリートメント,カット＋カラー,その他"</formula1>
      <formula2>0</formula2>
    </dataValidation>
    <dataValidation type="list" allowBlank="1" sqref="I7:I206" xr:uid="{00000000-0002-0000-0200-000001000000}">
      <formula1>"確定,仮予約,キャンセル,完了"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B4F9E"/>
  </sheetPr>
  <dimension ref="A1:J17"/>
  <sheetViews>
    <sheetView showGridLines="0" zoomScaleNormal="100" workbookViewId="0"/>
  </sheetViews>
  <sheetFormatPr defaultColWidth="8.6328125" defaultRowHeight="14.5"/>
  <cols>
    <col min="1" max="8" width="12" customWidth="1"/>
  </cols>
  <sheetData>
    <row r="1" spans="1:10" ht="24" customHeight="1">
      <c r="A1" s="51" t="s">
        <v>71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15.75" customHeight="1">
      <c r="A2" s="52" t="s">
        <v>106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27.75" customHeight="1">
      <c r="A3" s="28" t="s">
        <v>72</v>
      </c>
      <c r="B3" s="29">
        <v>46174</v>
      </c>
      <c r="C3" s="53" t="s">
        <v>73</v>
      </c>
      <c r="D3" s="44"/>
      <c r="E3" s="44"/>
      <c r="F3" s="44"/>
      <c r="G3" s="44"/>
      <c r="H3" s="44"/>
      <c r="I3" s="44"/>
      <c r="J3" s="44"/>
    </row>
    <row r="5" spans="1:10" ht="25.5" customHeight="1">
      <c r="B5" s="30" t="s">
        <v>74</v>
      </c>
      <c r="C5" s="31" t="s">
        <v>75</v>
      </c>
      <c r="D5" s="31" t="s">
        <v>76</v>
      </c>
      <c r="E5" s="31" t="s">
        <v>77</v>
      </c>
      <c r="F5" s="31" t="s">
        <v>78</v>
      </c>
      <c r="G5" s="31" t="s">
        <v>79</v>
      </c>
      <c r="H5" s="32" t="s">
        <v>80</v>
      </c>
    </row>
    <row r="6" spans="1:10" ht="18" customHeight="1">
      <c r="B6" s="33" t="str">
        <f>IFERROR(IF(MONTH(DATE(YEAR($B$3),MONTH($B$3),1)-WEEKDAY(DATE(YEAR($B$3),MONTH($B$3),1),1)+1+0)=MONTH($B$3),DATE(YEAR($B$3),MONTH($B$3),1)-WEEKDAY(DATE(YEAR($B$3),MONTH($B$3),1),1)+1+0,""),"")</f>
        <v/>
      </c>
      <c r="C6" s="34">
        <f>IFERROR(IF(MONTH(DATE(YEAR($B$3),MONTH($B$3),1)-WEEKDAY(DATE(YEAR($B$3),MONTH($B$3),1),1)+1+1)=MONTH($B$3),DATE(YEAR($B$3),MONTH($B$3),1)-WEEKDAY(DATE(YEAR($B$3),MONTH($B$3),1),1)+1+1,""),"")</f>
        <v>46174</v>
      </c>
      <c r="D6" s="34">
        <f>IFERROR(IF(MONTH(DATE(YEAR($B$3),MONTH($B$3),1)-WEEKDAY(DATE(YEAR($B$3),MONTH($B$3),1),1)+1+2)=MONTH($B$3),DATE(YEAR($B$3),MONTH($B$3),1)-WEEKDAY(DATE(YEAR($B$3),MONTH($B$3),1),1)+1+2,""),"")</f>
        <v>46175</v>
      </c>
      <c r="E6" s="34">
        <f>IFERROR(IF(MONTH(DATE(YEAR($B$3),MONTH($B$3),1)-WEEKDAY(DATE(YEAR($B$3),MONTH($B$3),1),1)+1+3)=MONTH($B$3),DATE(YEAR($B$3),MONTH($B$3),1)-WEEKDAY(DATE(YEAR($B$3),MONTH($B$3),1),1)+1+3,""),"")</f>
        <v>46176</v>
      </c>
      <c r="F6" s="34">
        <f>IFERROR(IF(MONTH(DATE(YEAR($B$3),MONTH($B$3),1)-WEEKDAY(DATE(YEAR($B$3),MONTH($B$3),1),1)+1+4)=MONTH($B$3),DATE(YEAR($B$3),MONTH($B$3),1)-WEEKDAY(DATE(YEAR($B$3),MONTH($B$3),1),1)+1+4,""),"")</f>
        <v>46177</v>
      </c>
      <c r="G6" s="34">
        <f>IFERROR(IF(MONTH(DATE(YEAR($B$3),MONTH($B$3),1)-WEEKDAY(DATE(YEAR($B$3),MONTH($B$3),1),1)+1+5)=MONTH($B$3),DATE(YEAR($B$3),MONTH($B$3),1)-WEEKDAY(DATE(YEAR($B$3),MONTH($B$3),1),1)+1+5,""),"")</f>
        <v>46178</v>
      </c>
      <c r="H6" s="35">
        <f>IFERROR(IF(MONTH(DATE(YEAR($B$3),MONTH($B$3),1)-WEEKDAY(DATE(YEAR($B$3),MONTH($B$3),1),1)+1+6)=MONTH($B$3),DATE(YEAR($B$3),MONTH($B$3),1)-WEEKDAY(DATE(YEAR($B$3),MONTH($B$3),1),1)+1+6,""),"")</f>
        <v>46179</v>
      </c>
    </row>
    <row r="7" spans="1:10" ht="18" customHeight="1">
      <c r="B7" s="36" t="str">
        <f>IFERROR(IF(B6=""," ",IF(COUNTIFS(②予約入力!$B$4:$B$206,B6,②予約入力!$I$4:$I$206,"&lt;&gt;キャンセル")=0,"－",COUNTIFS(②予約入力!$B$4:$B$206,B6,②予約入力!$I$4:$I$206,"&lt;&gt;キャンセル")&amp;"件"))," ")</f>
        <v xml:space="preserve"> </v>
      </c>
      <c r="C7" s="36" t="str">
        <f>IFERROR(IF(C6=""," ",IF(COUNTIFS(②予約入力!$B$4:$B$206,C6,②予約入力!$I$4:$I$206,"&lt;&gt;キャンセル")=0,"－",COUNTIFS(②予約入力!$B$4:$B$206,C6,②予約入力!$I$4:$I$206,"&lt;&gt;キャンセル")&amp;"件"))," ")</f>
        <v>－</v>
      </c>
      <c r="D7" s="36" t="str">
        <f>IFERROR(IF(D6=""," ",IF(COUNTIFS(②予約入力!$B$4:$B$206,D6,②予約入力!$I$4:$I$206,"&lt;&gt;キャンセル")=0,"－",COUNTIFS(②予約入力!$B$4:$B$206,D6,②予約入力!$I$4:$I$206,"&lt;&gt;キャンセル")&amp;"件"))," ")</f>
        <v>－</v>
      </c>
      <c r="E7" s="36" t="str">
        <f>IFERROR(IF(E6=""," ",IF(COUNTIFS(②予約入力!$B$4:$B$206,E6,②予約入力!$I$4:$I$206,"&lt;&gt;キャンセル")=0,"－",COUNTIFS(②予約入力!$B$4:$B$206,E6,②予約入力!$I$4:$I$206,"&lt;&gt;キャンセル")&amp;"件"))," ")</f>
        <v>－</v>
      </c>
      <c r="F7" s="36" t="str">
        <f>IFERROR(IF(F6=""," ",IF(COUNTIFS(②予約入力!$B$4:$B$206,F6,②予約入力!$I$4:$I$206,"&lt;&gt;キャンセル")=0,"－",COUNTIFS(②予約入力!$B$4:$B$206,F6,②予約入力!$I$4:$I$206,"&lt;&gt;キャンセル")&amp;"件"))," ")</f>
        <v>－</v>
      </c>
      <c r="G7" s="36" t="str">
        <f>IFERROR(IF(G6=""," ",IF(COUNTIFS(②予約入力!$B$4:$B$206,G6,②予約入力!$I$4:$I$206,"&lt;&gt;キャンセル")=0,"－",COUNTIFS(②予約入力!$B$4:$B$206,G6,②予約入力!$I$4:$I$206,"&lt;&gt;キャンセル")&amp;"件"))," ")</f>
        <v>－</v>
      </c>
      <c r="H7" s="36" t="str">
        <f>IFERROR(IF(H6=""," ",IF(COUNTIFS(②予約入力!$B$4:$B$206,H6,②予約入力!$I$4:$I$206,"&lt;&gt;キャンセル")=0,"－",COUNTIFS(②予約入力!$B$4:$B$206,H6,②予約入力!$I$4:$I$206,"&lt;&gt;キャンセル")&amp;"件"))," ")</f>
        <v>－</v>
      </c>
    </row>
    <row r="8" spans="1:10" ht="18" customHeight="1">
      <c r="B8" s="33">
        <f>IFERROR(IF(MONTH(DATE(YEAR($B$3),MONTH($B$3),1)-WEEKDAY(DATE(YEAR($B$3),MONTH($B$3),1),1)+1+7)=MONTH($B$3),DATE(YEAR($B$3),MONTH($B$3),1)-WEEKDAY(DATE(YEAR($B$3),MONTH($B$3),1),1)+1+7,""),"")</f>
        <v>46180</v>
      </c>
      <c r="C8" s="34">
        <f>IFERROR(IF(MONTH(DATE(YEAR($B$3),MONTH($B$3),1)-WEEKDAY(DATE(YEAR($B$3),MONTH($B$3),1),1)+1+8)=MONTH($B$3),DATE(YEAR($B$3),MONTH($B$3),1)-WEEKDAY(DATE(YEAR($B$3),MONTH($B$3),1),1)+1+8,""),"")</f>
        <v>46181</v>
      </c>
      <c r="D8" s="34">
        <f>IFERROR(IF(MONTH(DATE(YEAR($B$3),MONTH($B$3),1)-WEEKDAY(DATE(YEAR($B$3),MONTH($B$3),1),1)+1+9)=MONTH($B$3),DATE(YEAR($B$3),MONTH($B$3),1)-WEEKDAY(DATE(YEAR($B$3),MONTH($B$3),1),1)+1+9,""),"")</f>
        <v>46182</v>
      </c>
      <c r="E8" s="34">
        <f>IFERROR(IF(MONTH(DATE(YEAR($B$3),MONTH($B$3),1)-WEEKDAY(DATE(YEAR($B$3),MONTH($B$3),1),1)+1+10)=MONTH($B$3),DATE(YEAR($B$3),MONTH($B$3),1)-WEEKDAY(DATE(YEAR($B$3),MONTH($B$3),1),1)+1+10,""),"")</f>
        <v>46183</v>
      </c>
      <c r="F8" s="34">
        <f>IFERROR(IF(MONTH(DATE(YEAR($B$3),MONTH($B$3),1)-WEEKDAY(DATE(YEAR($B$3),MONTH($B$3),1),1)+1+11)=MONTH($B$3),DATE(YEAR($B$3),MONTH($B$3),1)-WEEKDAY(DATE(YEAR($B$3),MONTH($B$3),1),1)+1+11,""),"")</f>
        <v>46184</v>
      </c>
      <c r="G8" s="34">
        <f>IFERROR(IF(MONTH(DATE(YEAR($B$3),MONTH($B$3),1)-WEEKDAY(DATE(YEAR($B$3),MONTH($B$3),1),1)+1+12)=MONTH($B$3),DATE(YEAR($B$3),MONTH($B$3),1)-WEEKDAY(DATE(YEAR($B$3),MONTH($B$3),1),1)+1+12,""),"")</f>
        <v>46185</v>
      </c>
      <c r="H8" s="35">
        <f>IFERROR(IF(MONTH(DATE(YEAR($B$3),MONTH($B$3),1)-WEEKDAY(DATE(YEAR($B$3),MONTH($B$3),1),1)+1+13)=MONTH($B$3),DATE(YEAR($B$3),MONTH($B$3),1)-WEEKDAY(DATE(YEAR($B$3),MONTH($B$3),1),1)+1+13,""),"")</f>
        <v>46186</v>
      </c>
    </row>
    <row r="9" spans="1:10" ht="18" customHeight="1">
      <c r="B9" s="36" t="str">
        <f>IFERROR(IF(B8=""," ",IF(COUNTIFS(②予約入力!$B$4:$B$206,B8,②予約入力!$I$4:$I$206,"&lt;&gt;キャンセル")=0,"－",COUNTIFS(②予約入力!$B$4:$B$206,B8,②予約入力!$I$4:$I$206,"&lt;&gt;キャンセル")&amp;"件"))," ")</f>
        <v>－</v>
      </c>
      <c r="C9" s="36" t="str">
        <f>IFERROR(IF(C8=""," ",IF(COUNTIFS(②予約入力!$B$4:$B$206,C8,②予約入力!$I$4:$I$206,"&lt;&gt;キャンセル")=0,"－",COUNTIFS(②予約入力!$B$4:$B$206,C8,②予約入力!$I$4:$I$206,"&lt;&gt;キャンセル")&amp;"件"))," ")</f>
        <v>－</v>
      </c>
      <c r="D9" s="36" t="str">
        <f>IFERROR(IF(D8=""," ",IF(COUNTIFS(②予約入力!$B$4:$B$206,D8,②予約入力!$I$4:$I$206,"&lt;&gt;キャンセル")=0,"－",COUNTIFS(②予約入力!$B$4:$B$206,D8,②予約入力!$I$4:$I$206,"&lt;&gt;キャンセル")&amp;"件"))," ")</f>
        <v>－</v>
      </c>
      <c r="E9" s="36" t="str">
        <f>IFERROR(IF(E8=""," ",IF(COUNTIFS(②予約入力!$B$4:$B$206,E8,②予約入力!$I$4:$I$206,"&lt;&gt;キャンセル")=0,"－",COUNTIFS(②予約入力!$B$4:$B$206,E8,②予約入力!$I$4:$I$206,"&lt;&gt;キャンセル")&amp;"件"))," ")</f>
        <v>2件</v>
      </c>
      <c r="F9" s="36" t="str">
        <f>IFERROR(IF(F8=""," ",IF(COUNTIFS(②予約入力!$B$4:$B$206,F8,②予約入力!$I$4:$I$206,"&lt;&gt;キャンセル")=0,"－",COUNTIFS(②予約入力!$B$4:$B$206,F8,②予約入力!$I$4:$I$206,"&lt;&gt;キャンセル")&amp;"件"))," ")</f>
        <v>1件</v>
      </c>
      <c r="G9" s="36" t="str">
        <f>IFERROR(IF(G8=""," ",IF(COUNTIFS(②予約入力!$B$4:$B$206,G8,②予約入力!$I$4:$I$206,"&lt;&gt;キャンセル")=0,"－",COUNTIFS(②予約入力!$B$4:$B$206,G8,②予約入力!$I$4:$I$206,"&lt;&gt;キャンセル")&amp;"件"))," ")</f>
        <v>－</v>
      </c>
      <c r="H9" s="36" t="str">
        <f>IFERROR(IF(H8=""," ",IF(COUNTIFS(②予約入力!$B$4:$B$206,H8,②予約入力!$I$4:$I$206,"&lt;&gt;キャンセル")=0,"－",COUNTIFS(②予約入力!$B$4:$B$206,H8,②予約入力!$I$4:$I$206,"&lt;&gt;キャンセル")&amp;"件"))," ")</f>
        <v>－</v>
      </c>
    </row>
    <row r="10" spans="1:10" ht="18" customHeight="1">
      <c r="B10" s="33">
        <f>IFERROR(IF(MONTH(DATE(YEAR($B$3),MONTH($B$3),1)-WEEKDAY(DATE(YEAR($B$3),MONTH($B$3),1),1)+1+14)=MONTH($B$3),DATE(YEAR($B$3),MONTH($B$3),1)-WEEKDAY(DATE(YEAR($B$3),MONTH($B$3),1),1)+1+14,""),"")</f>
        <v>46187</v>
      </c>
      <c r="C10" s="34">
        <f>IFERROR(IF(MONTH(DATE(YEAR($B$3),MONTH($B$3),1)-WEEKDAY(DATE(YEAR($B$3),MONTH($B$3),1),1)+1+15)=MONTH($B$3),DATE(YEAR($B$3),MONTH($B$3),1)-WEEKDAY(DATE(YEAR($B$3),MONTH($B$3),1),1)+1+15,""),"")</f>
        <v>46188</v>
      </c>
      <c r="D10" s="34">
        <f>IFERROR(IF(MONTH(DATE(YEAR($B$3),MONTH($B$3),1)-WEEKDAY(DATE(YEAR($B$3),MONTH($B$3),1),1)+1+16)=MONTH($B$3),DATE(YEAR($B$3),MONTH($B$3),1)-WEEKDAY(DATE(YEAR($B$3),MONTH($B$3),1),1)+1+16,""),"")</f>
        <v>46189</v>
      </c>
      <c r="E10" s="34">
        <f>IFERROR(IF(MONTH(DATE(YEAR($B$3),MONTH($B$3),1)-WEEKDAY(DATE(YEAR($B$3),MONTH($B$3),1),1)+1+17)=MONTH($B$3),DATE(YEAR($B$3),MONTH($B$3),1)-WEEKDAY(DATE(YEAR($B$3),MONTH($B$3),1),1)+1+17,""),"")</f>
        <v>46190</v>
      </c>
      <c r="F10" s="34">
        <f>IFERROR(IF(MONTH(DATE(YEAR($B$3),MONTH($B$3),1)-WEEKDAY(DATE(YEAR($B$3),MONTH($B$3),1),1)+1+18)=MONTH($B$3),DATE(YEAR($B$3),MONTH($B$3),1)-WEEKDAY(DATE(YEAR($B$3),MONTH($B$3),1),1)+1+18,""),"")</f>
        <v>46191</v>
      </c>
      <c r="G10" s="34">
        <f>IFERROR(IF(MONTH(DATE(YEAR($B$3),MONTH($B$3),1)-WEEKDAY(DATE(YEAR($B$3),MONTH($B$3),1),1)+1+19)=MONTH($B$3),DATE(YEAR($B$3),MONTH($B$3),1)-WEEKDAY(DATE(YEAR($B$3),MONTH($B$3),1),1)+1+19,""),"")</f>
        <v>46192</v>
      </c>
      <c r="H10" s="35">
        <f>IFERROR(IF(MONTH(DATE(YEAR($B$3),MONTH($B$3),1)-WEEKDAY(DATE(YEAR($B$3),MONTH($B$3),1),1)+1+20)=MONTH($B$3),DATE(YEAR($B$3),MONTH($B$3),1)-WEEKDAY(DATE(YEAR($B$3),MONTH($B$3),1),1)+1+20,""),"")</f>
        <v>46193</v>
      </c>
    </row>
    <row r="11" spans="1:10" ht="18" customHeight="1">
      <c r="B11" s="36" t="str">
        <f>IFERROR(IF(B10=""," ",IF(COUNTIFS(②予約入力!$B$4:$B$206,B10,②予約入力!$I$4:$I$206,"&lt;&gt;キャンセル")=0,"－",COUNTIFS(②予約入力!$B$4:$B$206,B10,②予約入力!$I$4:$I$206,"&lt;&gt;キャンセル")&amp;"件"))," ")</f>
        <v>－</v>
      </c>
      <c r="C11" s="36" t="str">
        <f>IFERROR(IF(C10=""," ",IF(COUNTIFS(②予約入力!$B$4:$B$206,C10,②予約入力!$I$4:$I$206,"&lt;&gt;キャンセル")=0,"－",COUNTIFS(②予約入力!$B$4:$B$206,C10,②予約入力!$I$4:$I$206,"&lt;&gt;キャンセル")&amp;"件"))," ")</f>
        <v>－</v>
      </c>
      <c r="D11" s="36" t="str">
        <f>IFERROR(IF(D10=""," ",IF(COUNTIFS(②予約入力!$B$4:$B$206,D10,②予約入力!$I$4:$I$206,"&lt;&gt;キャンセル")=0,"－",COUNTIFS(②予約入力!$B$4:$B$206,D10,②予約入力!$I$4:$I$206,"&lt;&gt;キャンセル")&amp;"件"))," ")</f>
        <v>－</v>
      </c>
      <c r="E11" s="36" t="str">
        <f>IFERROR(IF(E10=""," ",IF(COUNTIFS(②予約入力!$B$4:$B$206,E10,②予約入力!$I$4:$I$206,"&lt;&gt;キャンセル")=0,"－",COUNTIFS(②予約入力!$B$4:$B$206,E10,②予約入力!$I$4:$I$206,"&lt;&gt;キャンセル")&amp;"件"))," ")</f>
        <v>－</v>
      </c>
      <c r="F11" s="36" t="str">
        <f>IFERROR(IF(F10=""," ",IF(COUNTIFS(②予約入力!$B$4:$B$206,F10,②予約入力!$I$4:$I$206,"&lt;&gt;キャンセル")=0,"－",COUNTIFS(②予約入力!$B$4:$B$206,F10,②予約入力!$I$4:$I$206,"&lt;&gt;キャンセル")&amp;"件"))," ")</f>
        <v>－</v>
      </c>
      <c r="G11" s="36" t="str">
        <f>IFERROR(IF(G10=""," ",IF(COUNTIFS(②予約入力!$B$4:$B$206,G10,②予約入力!$I$4:$I$206,"&lt;&gt;キャンセル")=0,"－",COUNTIFS(②予約入力!$B$4:$B$206,G10,②予約入力!$I$4:$I$206,"&lt;&gt;キャンセル")&amp;"件"))," ")</f>
        <v>－</v>
      </c>
      <c r="H11" s="36" t="str">
        <f>IFERROR(IF(H10=""," ",IF(COUNTIFS(②予約入力!$B$4:$B$206,H10,②予約入力!$I$4:$I$206,"&lt;&gt;キャンセル")=0,"－",COUNTIFS(②予約入力!$B$4:$B$206,H10,②予約入力!$I$4:$I$206,"&lt;&gt;キャンセル")&amp;"件"))," ")</f>
        <v>－</v>
      </c>
    </row>
    <row r="12" spans="1:10" ht="18" customHeight="1">
      <c r="B12" s="33">
        <f>IFERROR(IF(MONTH(DATE(YEAR($B$3),MONTH($B$3),1)-WEEKDAY(DATE(YEAR($B$3),MONTH($B$3),1),1)+1+21)=MONTH($B$3),DATE(YEAR($B$3),MONTH($B$3),1)-WEEKDAY(DATE(YEAR($B$3),MONTH($B$3),1),1)+1+21,""),"")</f>
        <v>46194</v>
      </c>
      <c r="C12" s="34">
        <f>IFERROR(IF(MONTH(DATE(YEAR($B$3),MONTH($B$3),1)-WEEKDAY(DATE(YEAR($B$3),MONTH($B$3),1),1)+1+22)=MONTH($B$3),DATE(YEAR($B$3),MONTH($B$3),1)-WEEKDAY(DATE(YEAR($B$3),MONTH($B$3),1),1)+1+22,""),"")</f>
        <v>46195</v>
      </c>
      <c r="D12" s="34">
        <f>IFERROR(IF(MONTH(DATE(YEAR($B$3),MONTH($B$3),1)-WEEKDAY(DATE(YEAR($B$3),MONTH($B$3),1),1)+1+23)=MONTH($B$3),DATE(YEAR($B$3),MONTH($B$3),1)-WEEKDAY(DATE(YEAR($B$3),MONTH($B$3),1),1)+1+23,""),"")</f>
        <v>46196</v>
      </c>
      <c r="E12" s="34">
        <f>IFERROR(IF(MONTH(DATE(YEAR($B$3),MONTH($B$3),1)-WEEKDAY(DATE(YEAR($B$3),MONTH($B$3),1),1)+1+24)=MONTH($B$3),DATE(YEAR($B$3),MONTH($B$3),1)-WEEKDAY(DATE(YEAR($B$3),MONTH($B$3),1),1)+1+24,""),"")</f>
        <v>46197</v>
      </c>
      <c r="F12" s="34">
        <f>IFERROR(IF(MONTH(DATE(YEAR($B$3),MONTH($B$3),1)-WEEKDAY(DATE(YEAR($B$3),MONTH($B$3),1),1)+1+25)=MONTH($B$3),DATE(YEAR($B$3),MONTH($B$3),1)-WEEKDAY(DATE(YEAR($B$3),MONTH($B$3),1),1)+1+25,""),"")</f>
        <v>46198</v>
      </c>
      <c r="G12" s="34">
        <f>IFERROR(IF(MONTH(DATE(YEAR($B$3),MONTH($B$3),1)-WEEKDAY(DATE(YEAR($B$3),MONTH($B$3),1),1)+1+26)=MONTH($B$3),DATE(YEAR($B$3),MONTH($B$3),1)-WEEKDAY(DATE(YEAR($B$3),MONTH($B$3),1),1)+1+26,""),"")</f>
        <v>46199</v>
      </c>
      <c r="H12" s="35">
        <f>IFERROR(IF(MONTH(DATE(YEAR($B$3),MONTH($B$3),1)-WEEKDAY(DATE(YEAR($B$3),MONTH($B$3),1),1)+1+27)=MONTH($B$3),DATE(YEAR($B$3),MONTH($B$3),1)-WEEKDAY(DATE(YEAR($B$3),MONTH($B$3),1),1)+1+27,""),"")</f>
        <v>46200</v>
      </c>
    </row>
    <row r="13" spans="1:10" ht="18" customHeight="1">
      <c r="B13" s="36" t="str">
        <f>IFERROR(IF(B12=""," ",IF(COUNTIFS(②予約入力!$B$4:$B$206,B12,②予約入力!$I$4:$I$206,"&lt;&gt;キャンセル")=0,"－",COUNTIFS(②予約入力!$B$4:$B$206,B12,②予約入力!$I$4:$I$206,"&lt;&gt;キャンセル")&amp;"件"))," ")</f>
        <v>－</v>
      </c>
      <c r="C13" s="36" t="str">
        <f>IFERROR(IF(C12=""," ",IF(COUNTIFS(②予約入力!$B$4:$B$206,C12,②予約入力!$I$4:$I$206,"&lt;&gt;キャンセル")=0,"－",COUNTIFS(②予約入力!$B$4:$B$206,C12,②予約入力!$I$4:$I$206,"&lt;&gt;キャンセル")&amp;"件"))," ")</f>
        <v>－</v>
      </c>
      <c r="D13" s="36" t="str">
        <f>IFERROR(IF(D12=""," ",IF(COUNTIFS(②予約入力!$B$4:$B$206,D12,②予約入力!$I$4:$I$206,"&lt;&gt;キャンセル")=0,"－",COUNTIFS(②予約入力!$B$4:$B$206,D12,②予約入力!$I$4:$I$206,"&lt;&gt;キャンセル")&amp;"件"))," ")</f>
        <v>－</v>
      </c>
      <c r="E13" s="36" t="str">
        <f>IFERROR(IF(E12=""," ",IF(COUNTIFS(②予約入力!$B$4:$B$206,E12,②予約入力!$I$4:$I$206,"&lt;&gt;キャンセル")=0,"－",COUNTIFS(②予約入力!$B$4:$B$206,E12,②予約入力!$I$4:$I$206,"&lt;&gt;キャンセル")&amp;"件"))," ")</f>
        <v>－</v>
      </c>
      <c r="F13" s="36" t="str">
        <f>IFERROR(IF(F12=""," ",IF(COUNTIFS(②予約入力!$B$4:$B$206,F12,②予約入力!$I$4:$I$206,"&lt;&gt;キャンセル")=0,"－",COUNTIFS(②予約入力!$B$4:$B$206,F12,②予約入力!$I$4:$I$206,"&lt;&gt;キャンセル")&amp;"件"))," ")</f>
        <v>－</v>
      </c>
      <c r="G13" s="36" t="str">
        <f>IFERROR(IF(G12=""," ",IF(COUNTIFS(②予約入力!$B$4:$B$206,G12,②予約入力!$I$4:$I$206,"&lt;&gt;キャンセル")=0,"－",COUNTIFS(②予約入力!$B$4:$B$206,G12,②予約入力!$I$4:$I$206,"&lt;&gt;キャンセル")&amp;"件"))," ")</f>
        <v>－</v>
      </c>
      <c r="H13" s="36" t="str">
        <f>IFERROR(IF(H12=""," ",IF(COUNTIFS(②予約入力!$B$4:$B$206,H12,②予約入力!$I$4:$I$206,"&lt;&gt;キャンセル")=0,"－",COUNTIFS(②予約入力!$B$4:$B$206,H12,②予約入力!$I$4:$I$206,"&lt;&gt;キャンセル")&amp;"件"))," ")</f>
        <v>－</v>
      </c>
    </row>
    <row r="14" spans="1:10" ht="18" customHeight="1">
      <c r="B14" s="33">
        <f>IFERROR(IF(MONTH(DATE(YEAR($B$3),MONTH($B$3),1)-WEEKDAY(DATE(YEAR($B$3),MONTH($B$3),1),1)+1+28)=MONTH($B$3),DATE(YEAR($B$3),MONTH($B$3),1)-WEEKDAY(DATE(YEAR($B$3),MONTH($B$3),1),1)+1+28,""),"")</f>
        <v>46201</v>
      </c>
      <c r="C14" s="34">
        <f>IFERROR(IF(MONTH(DATE(YEAR($B$3),MONTH($B$3),1)-WEEKDAY(DATE(YEAR($B$3),MONTH($B$3),1),1)+1+29)=MONTH($B$3),DATE(YEAR($B$3),MONTH($B$3),1)-WEEKDAY(DATE(YEAR($B$3),MONTH($B$3),1),1)+1+29,""),"")</f>
        <v>46202</v>
      </c>
      <c r="D14" s="34">
        <f>IFERROR(IF(MONTH(DATE(YEAR($B$3),MONTH($B$3),1)-WEEKDAY(DATE(YEAR($B$3),MONTH($B$3),1),1)+1+30)=MONTH($B$3),DATE(YEAR($B$3),MONTH($B$3),1)-WEEKDAY(DATE(YEAR($B$3),MONTH($B$3),1),1)+1+30,""),"")</f>
        <v>46203</v>
      </c>
      <c r="E14" s="34" t="str">
        <f>IFERROR(IF(MONTH(DATE(YEAR($B$3),MONTH($B$3),1)-WEEKDAY(DATE(YEAR($B$3),MONTH($B$3),1),1)+1+31)=MONTH($B$3),DATE(YEAR($B$3),MONTH($B$3),1)-WEEKDAY(DATE(YEAR($B$3),MONTH($B$3),1),1)+1+31,""),"")</f>
        <v/>
      </c>
      <c r="F14" s="34" t="str">
        <f>IFERROR(IF(MONTH(DATE(YEAR($B$3),MONTH($B$3),1)-WEEKDAY(DATE(YEAR($B$3),MONTH($B$3),1),1)+1+32)=MONTH($B$3),DATE(YEAR($B$3),MONTH($B$3),1)-WEEKDAY(DATE(YEAR($B$3),MONTH($B$3),1),1)+1+32,""),"")</f>
        <v/>
      </c>
      <c r="G14" s="34" t="str">
        <f>IFERROR(IF(MONTH(DATE(YEAR($B$3),MONTH($B$3),1)-WEEKDAY(DATE(YEAR($B$3),MONTH($B$3),1),1)+1+33)=MONTH($B$3),DATE(YEAR($B$3),MONTH($B$3),1)-WEEKDAY(DATE(YEAR($B$3),MONTH($B$3),1),1)+1+33,""),"")</f>
        <v/>
      </c>
      <c r="H14" s="35" t="str">
        <f>IFERROR(IF(MONTH(DATE(YEAR($B$3),MONTH($B$3),1)-WEEKDAY(DATE(YEAR($B$3),MONTH($B$3),1),1)+1+34)=MONTH($B$3),DATE(YEAR($B$3),MONTH($B$3),1)-WEEKDAY(DATE(YEAR($B$3),MONTH($B$3),1),1)+1+34,""),"")</f>
        <v/>
      </c>
    </row>
    <row r="15" spans="1:10" ht="18" customHeight="1">
      <c r="B15" s="36" t="str">
        <f>IFERROR(IF(B14=""," ",IF(COUNTIFS(②予約入力!$B$4:$B$206,B14,②予約入力!$I$4:$I$206,"&lt;&gt;キャンセル")=0,"－",COUNTIFS(②予約入力!$B$4:$B$206,B14,②予約入力!$I$4:$I$206,"&lt;&gt;キャンセル")&amp;"件"))," ")</f>
        <v>－</v>
      </c>
      <c r="C15" s="36" t="str">
        <f>IFERROR(IF(C14=""," ",IF(COUNTIFS(②予約入力!$B$4:$B$206,C14,②予約入力!$I$4:$I$206,"&lt;&gt;キャンセル")=0,"－",COUNTIFS(②予約入力!$B$4:$B$206,C14,②予約入力!$I$4:$I$206,"&lt;&gt;キャンセル")&amp;"件"))," ")</f>
        <v>－</v>
      </c>
      <c r="D15" s="36" t="str">
        <f>IFERROR(IF(D14=""," ",IF(COUNTIFS(②予約入力!$B$4:$B$206,D14,②予約入力!$I$4:$I$206,"&lt;&gt;キャンセル")=0,"－",COUNTIFS(②予約入力!$B$4:$B$206,D14,②予約入力!$I$4:$I$206,"&lt;&gt;キャンセル")&amp;"件"))," ")</f>
        <v>－</v>
      </c>
      <c r="E15" s="36" t="str">
        <f>IFERROR(IF(E14=""," ",IF(COUNTIFS(②予約入力!$B$4:$B$206,E14,②予約入力!$I$4:$I$206,"&lt;&gt;キャンセル")=0,"－",COUNTIFS(②予約入力!$B$4:$B$206,E14,②予約入力!$I$4:$I$206,"&lt;&gt;キャンセル")&amp;"件"))," ")</f>
        <v xml:space="preserve"> </v>
      </c>
      <c r="F15" s="36" t="str">
        <f>IFERROR(IF(F14=""," ",IF(COUNTIFS(②予約入力!$B$4:$B$206,F14,②予約入力!$I$4:$I$206,"&lt;&gt;キャンセル")=0,"－",COUNTIFS(②予約入力!$B$4:$B$206,F14,②予約入力!$I$4:$I$206,"&lt;&gt;キャンセル")&amp;"件"))," ")</f>
        <v xml:space="preserve"> </v>
      </c>
      <c r="G15" s="36" t="str">
        <f>IFERROR(IF(G14=""," ",IF(COUNTIFS(②予約入力!$B$4:$B$206,G14,②予約入力!$I$4:$I$206,"&lt;&gt;キャンセル")=0,"－",COUNTIFS(②予約入力!$B$4:$B$206,G14,②予約入力!$I$4:$I$206,"&lt;&gt;キャンセル")&amp;"件"))," ")</f>
        <v xml:space="preserve"> </v>
      </c>
      <c r="H15" s="36" t="str">
        <f>IFERROR(IF(H14=""," ",IF(COUNTIFS(②予約入力!$B$4:$B$206,H14,②予約入力!$I$4:$I$206,"&lt;&gt;キャンセル")=0,"－",COUNTIFS(②予約入力!$B$4:$B$206,H14,②予約入力!$I$4:$I$206,"&lt;&gt;キャンセル")&amp;"件"))," ")</f>
        <v xml:space="preserve"> </v>
      </c>
    </row>
    <row r="16" spans="1:10" ht="18" customHeight="1">
      <c r="B16" s="33" t="str">
        <f>IFERROR(IF(MONTH(DATE(YEAR($B$3),MONTH($B$3),1)-WEEKDAY(DATE(YEAR($B$3),MONTH($B$3),1),1)+1+35)=MONTH($B$3),DATE(YEAR($B$3),MONTH($B$3),1)-WEEKDAY(DATE(YEAR($B$3),MONTH($B$3),1),1)+1+35,""),"")</f>
        <v/>
      </c>
      <c r="C16" s="34" t="str">
        <f>IFERROR(IF(MONTH(DATE(YEAR($B$3),MONTH($B$3),1)-WEEKDAY(DATE(YEAR($B$3),MONTH($B$3),1),1)+1+36)=MONTH($B$3),DATE(YEAR($B$3),MONTH($B$3),1)-WEEKDAY(DATE(YEAR($B$3),MONTH($B$3),1),1)+1+36,""),"")</f>
        <v/>
      </c>
      <c r="D16" s="34" t="str">
        <f>IFERROR(IF(MONTH(DATE(YEAR($B$3),MONTH($B$3),1)-WEEKDAY(DATE(YEAR($B$3),MONTH($B$3),1),1)+1+37)=MONTH($B$3),DATE(YEAR($B$3),MONTH($B$3),1)-WEEKDAY(DATE(YEAR($B$3),MONTH($B$3),1),1)+1+37,""),"")</f>
        <v/>
      </c>
      <c r="E16" s="34" t="str">
        <f>IFERROR(IF(MONTH(DATE(YEAR($B$3),MONTH($B$3),1)-WEEKDAY(DATE(YEAR($B$3),MONTH($B$3),1),1)+1+38)=MONTH($B$3),DATE(YEAR($B$3),MONTH($B$3),1)-WEEKDAY(DATE(YEAR($B$3),MONTH($B$3),1),1)+1+38,""),"")</f>
        <v/>
      </c>
      <c r="F16" s="34" t="str">
        <f>IFERROR(IF(MONTH(DATE(YEAR($B$3),MONTH($B$3),1)-WEEKDAY(DATE(YEAR($B$3),MONTH($B$3),1),1)+1+39)=MONTH($B$3),DATE(YEAR($B$3),MONTH($B$3),1)-WEEKDAY(DATE(YEAR($B$3),MONTH($B$3),1),1)+1+39,""),"")</f>
        <v/>
      </c>
      <c r="G16" s="34" t="str">
        <f>IFERROR(IF(MONTH(DATE(YEAR($B$3),MONTH($B$3),1)-WEEKDAY(DATE(YEAR($B$3),MONTH($B$3),1),1)+1+40)=MONTH($B$3),DATE(YEAR($B$3),MONTH($B$3),1)-WEEKDAY(DATE(YEAR($B$3),MONTH($B$3),1),1)+1+40,""),"")</f>
        <v/>
      </c>
      <c r="H16" s="35" t="str">
        <f>IFERROR(IF(MONTH(DATE(YEAR($B$3),MONTH($B$3),1)-WEEKDAY(DATE(YEAR($B$3),MONTH($B$3),1),1)+1+41)=MONTH($B$3),DATE(YEAR($B$3),MONTH($B$3),1)-WEEKDAY(DATE(YEAR($B$3),MONTH($B$3),1),1)+1+41,""),"")</f>
        <v/>
      </c>
    </row>
    <row r="17" spans="2:8" ht="18" customHeight="1">
      <c r="B17" s="36" t="str">
        <f>IFERROR(IF(B16=""," ",IF(COUNTIFS(②予約入力!$B$4:$B$206,B16,②予約入力!$I$4:$I$206,"&lt;&gt;キャンセル")=0,"－",COUNTIFS(②予約入力!$B$4:$B$206,B16,②予約入力!$I$4:$I$206,"&lt;&gt;キャンセル")&amp;"件"))," ")</f>
        <v xml:space="preserve"> </v>
      </c>
      <c r="C17" s="36" t="str">
        <f>IFERROR(IF(C16=""," ",IF(COUNTIFS(②予約入力!$B$4:$B$206,C16,②予約入力!$I$4:$I$206,"&lt;&gt;キャンセル")=0,"－",COUNTIFS(②予約入力!$B$4:$B$206,C16,②予約入力!$I$4:$I$206,"&lt;&gt;キャンセル")&amp;"件"))," ")</f>
        <v xml:space="preserve"> </v>
      </c>
      <c r="D17" s="36" t="str">
        <f>IFERROR(IF(D16=""," ",IF(COUNTIFS(②予約入力!$B$4:$B$206,D16,②予約入力!$I$4:$I$206,"&lt;&gt;キャンセル")=0,"－",COUNTIFS(②予約入力!$B$4:$B$206,D16,②予約入力!$I$4:$I$206,"&lt;&gt;キャンセル")&amp;"件"))," ")</f>
        <v xml:space="preserve"> </v>
      </c>
      <c r="E17" s="36" t="str">
        <f>IFERROR(IF(E16=""," ",IF(COUNTIFS(②予約入力!$B$4:$B$206,E16,②予約入力!$I$4:$I$206,"&lt;&gt;キャンセル")=0,"－",COUNTIFS(②予約入力!$B$4:$B$206,E16,②予約入力!$I$4:$I$206,"&lt;&gt;キャンセル")&amp;"件"))," ")</f>
        <v xml:space="preserve"> </v>
      </c>
      <c r="F17" s="36" t="str">
        <f>IFERROR(IF(F16=""," ",IF(COUNTIFS(②予約入力!$B$4:$B$206,F16,②予約入力!$I$4:$I$206,"&lt;&gt;キャンセル")=0,"－",COUNTIFS(②予約入力!$B$4:$B$206,F16,②予約入力!$I$4:$I$206,"&lt;&gt;キャンセル")&amp;"件"))," ")</f>
        <v xml:space="preserve"> </v>
      </c>
      <c r="G17" s="36" t="str">
        <f>IFERROR(IF(G16=""," ",IF(COUNTIFS(②予約入力!$B$4:$B$206,G16,②予約入力!$I$4:$I$206,"&lt;&gt;キャンセル")=0,"－",COUNTIFS(②予約入力!$B$4:$B$206,G16,②予約入力!$I$4:$I$206,"&lt;&gt;キャンセル")&amp;"件"))," ")</f>
        <v xml:space="preserve"> </v>
      </c>
      <c r="H17" s="36" t="str">
        <f>IFERROR(IF(H16=""," ",IF(COUNTIFS(②予約入力!$B$4:$B$206,H16,②予約入力!$I$4:$I$206,"&lt;&gt;キャンセル")=0,"－",COUNTIFS(②予約入力!$B$4:$B$206,H16,②予約入力!$I$4:$I$206,"&lt;&gt;キャンセル")&amp;"件"))," ")</f>
        <v xml:space="preserve"> </v>
      </c>
    </row>
  </sheetData>
  <mergeCells count="3">
    <mergeCell ref="A1:J1"/>
    <mergeCell ref="A2:J2"/>
    <mergeCell ref="C3:J3"/>
  </mergeCells>
  <phoneticPr fontId="27"/>
  <conditionalFormatting sqref="B7:H7">
    <cfRule type="expression" dxfId="6" priority="2">
      <formula>B7&lt;&gt;"－"</formula>
    </cfRule>
  </conditionalFormatting>
  <conditionalFormatting sqref="B9:H9">
    <cfRule type="expression" dxfId="5" priority="9">
      <formula>B9&lt;&gt;"－"</formula>
    </cfRule>
  </conditionalFormatting>
  <conditionalFormatting sqref="B11:H11">
    <cfRule type="expression" dxfId="4" priority="16">
      <formula>B11&lt;&gt;"－"</formula>
    </cfRule>
  </conditionalFormatting>
  <conditionalFormatting sqref="B13:H13">
    <cfRule type="expression" dxfId="3" priority="23">
      <formula>B13&lt;&gt;"－"</formula>
    </cfRule>
  </conditionalFormatting>
  <conditionalFormatting sqref="B15:H15">
    <cfRule type="expression" dxfId="2" priority="30">
      <formula>B15&lt;&gt;"－"</formula>
    </cfRule>
  </conditionalFormatting>
  <conditionalFormatting sqref="B17:H17">
    <cfRule type="expression" dxfId="1" priority="37">
      <formula>B17&lt;&gt;"－"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B4F9E"/>
  </sheetPr>
  <dimension ref="A1:J29"/>
  <sheetViews>
    <sheetView showGridLines="0" tabSelected="1" zoomScaleNormal="100" workbookViewId="0">
      <selection activeCell="I19" sqref="I19"/>
    </sheetView>
  </sheetViews>
  <sheetFormatPr defaultColWidth="8.6328125" defaultRowHeight="14.5"/>
  <cols>
    <col min="1" max="1" width="12" customWidth="1"/>
    <col min="2" max="5" width="22" customWidth="1"/>
  </cols>
  <sheetData>
    <row r="1" spans="1:10" ht="24" customHeight="1">
      <c r="A1" s="51" t="s">
        <v>81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15.75" customHeight="1">
      <c r="A2" s="52" t="s">
        <v>82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27.75" customHeight="1">
      <c r="A3" s="28" t="s">
        <v>83</v>
      </c>
      <c r="B3" s="37">
        <v>46183</v>
      </c>
      <c r="C3" s="53" t="s">
        <v>84</v>
      </c>
      <c r="D3" s="44"/>
      <c r="E3" s="44"/>
      <c r="F3" s="44"/>
      <c r="G3" s="44"/>
      <c r="H3" s="44"/>
    </row>
    <row r="4" spans="1:10" ht="7.5" customHeight="1"/>
    <row r="5" spans="1:10" ht="25.5" customHeight="1">
      <c r="B5" s="28" t="s">
        <v>60</v>
      </c>
      <c r="C5" s="28" t="s">
        <v>66</v>
      </c>
      <c r="D5" s="28" t="s">
        <v>85</v>
      </c>
      <c r="E5" s="38" t="s">
        <v>86</v>
      </c>
    </row>
    <row r="6" spans="1:10" ht="19.5" customHeight="1">
      <c r="A6" s="39" t="s">
        <v>87</v>
      </c>
      <c r="B6" s="40" t="str">
        <f>IFERROR(IF(COUNTIFS(②予約入力!$B$4:$B$206,$B$3,②予約入力!$H$4:$H$206,"田中",②予約入力!$C$4:$C$206,"&lt;="&amp;TIMEVALUE("09:00"),②予約入力!$D$4:$D$206,"&gt;"&amp;TIMEVALUE("09:00"))&gt;0,INDEX(②予約入力!$F$4:$F$206,MATCH(1,(②予約入力!$B$4:$B$206=$B$3)*(②予約入力!$H$4:$H$206="田中")*(②予約入力!$C$4:$C$206&lt;=TIMEVALUE("09:00"))*(②予約入力!$D$4:$D$206&gt;TIMEVALUE("09:00")),0)),""),"")</f>
        <v/>
      </c>
      <c r="C6" s="40" t="str">
        <f>IFERROR(IF(COUNTIFS(②予約入力!$B$4:$B$206,$B$3,②予約入力!$H$4:$H$206,"佐藤",②予約入力!$C$4:$C$206,"&lt;="&amp;TIMEVALUE("09:00"),②予約入力!$D$4:$D$206,"&gt;"&amp;TIMEVALUE("09:00"))&gt;0,INDEX(②予約入力!$F$4:$F$206,MATCH(1,(②予約入力!$B$4:$B$206=$B$3)*(②予約入力!$H$4:$H$206="佐藤")*(②予約入力!$C$4:$C$206&lt;=TIMEVALUE("09:00"))*(②予約入力!$D$4:$D$206&gt;TIMEVALUE("09:00")),0)),""),"")</f>
        <v/>
      </c>
      <c r="D6" s="40" t="str">
        <f>IFERROR(IF(COUNTIFS(②予約入力!$B$4:$B$206,$B$3,②予約入力!$H$4:$H$206,"鈴木",②予約入力!$C$4:$C$206,"&lt;="&amp;TIMEVALUE("09:00"),②予約入力!$D$4:$D$206,"&gt;"&amp;TIMEVALUE("09:00"))&gt;0,INDEX(②予約入力!$F$4:$F$206,MATCH(1,(②予約入力!$B$4:$B$206=$B$3)*(②予約入力!$H$4:$H$206="鈴木")*(②予約入力!$C$4:$C$206&lt;=TIMEVALUE("09:00"))*(②予約入力!$D$4:$D$206&gt;TIMEVALUE("09:00")),0)),""),"")</f>
        <v/>
      </c>
    </row>
    <row r="7" spans="1:10" ht="19.5" customHeight="1">
      <c r="A7" s="41" t="s">
        <v>88</v>
      </c>
      <c r="B7" s="42" t="str">
        <f>IFERROR(IF(COUNTIFS(②予約入力!$B$4:$B$206,$B$3,②予約入力!$H$4:$H$206,"田中",②予約入力!$C$4:$C$206,"&lt;="&amp;TIMEVALUE("09:30"),②予約入力!$D$4:$D$206,"&gt;"&amp;TIMEVALUE("09:30"))&gt;0,INDEX(②予約入力!$F$4:$F$206,MATCH(1,(②予約入力!$B$4:$B$206=$B$3)*(②予約入力!$H$4:$H$206="田中")*(②予約入力!$C$4:$C$206&lt;=TIMEVALUE("09:30"))*(②予約入力!$D$4:$D$206&gt;TIMEVALUE("09:30")),0)),""),"")</f>
        <v/>
      </c>
      <c r="C7" s="42" t="str">
        <f>IFERROR(IF(COUNTIFS(②予約入力!$B$4:$B$206,$B$3,②予約入力!$H$4:$H$206,"佐藤",②予約入力!$C$4:$C$206,"&lt;="&amp;TIMEVALUE("09:30"),②予約入力!$D$4:$D$206,"&gt;"&amp;TIMEVALUE("09:30"))&gt;0,INDEX(②予約入力!$F$4:$F$206,MATCH(1,(②予約入力!$B$4:$B$206=$B$3)*(②予約入力!$H$4:$H$206="佐藤")*(②予約入力!$C$4:$C$206&lt;=TIMEVALUE("09:30"))*(②予約入力!$D$4:$D$206&gt;TIMEVALUE("09:30")),0)),""),"")</f>
        <v/>
      </c>
      <c r="D7" s="42" t="str">
        <f>IFERROR(IF(COUNTIFS(②予約入力!$B$4:$B$206,$B$3,②予約入力!$H$4:$H$206,"鈴木",②予約入力!$C$4:$C$206,"&lt;="&amp;TIMEVALUE("09:30"),②予約入力!$D$4:$D$206,"&gt;"&amp;TIMEVALUE("09:30"))&gt;0,INDEX(②予約入力!$F$4:$F$206,MATCH(1,(②予約入力!$B$4:$B$206=$B$3)*(②予約入力!$H$4:$H$206="鈴木")*(②予約入力!$C$4:$C$206&lt;=TIMEVALUE("09:30"))*(②予約入力!$D$4:$D$206&gt;TIMEVALUE("09:30")),0)),""),"")</f>
        <v/>
      </c>
    </row>
    <row r="8" spans="1:10" ht="19.5" customHeight="1">
      <c r="A8" s="39" t="s">
        <v>57</v>
      </c>
      <c r="B8" s="40" t="str">
        <f>IFERROR(IF(COUNTIFS(②予約入力!$B$4:$B$206,$B$3,②予約入力!$H$4:$H$206,"田中",②予約入力!$C$4:$C$206,"&lt;="&amp;TIMEVALUE("10:00"),②予約入力!$D$4:$D$206,"&gt;"&amp;TIMEVALUE("10:00"))&gt;0,INDEX(②予約入力!$F$4:$F$206,MATCH(1,(②予約入力!$B$4:$B$206=$B$3)*(②予約入力!$H$4:$H$206="田中")*(②予約入力!$C$4:$C$206&lt;=TIMEVALUE("10:00"))*(②予約入力!$D$4:$D$206&gt;TIMEVALUE("10:00")),0)),""),"")</f>
        <v/>
      </c>
      <c r="C8" s="40" t="str">
        <f>IFERROR(IF(COUNTIFS(②予約入力!$B$4:$B$206,$B$3,②予約入力!$H$4:$H$206,"佐藤",②予約入力!$C$4:$C$206,"&lt;="&amp;TIMEVALUE("10:00"),②予約入力!$D$4:$D$206,"&gt;"&amp;TIMEVALUE("10:00"))&gt;0,INDEX(②予約入力!$F$4:$F$206,MATCH(1,(②予約入力!$B$4:$B$206=$B$3)*(②予約入力!$H$4:$H$206="佐藤")*(②予約入力!$C$4:$C$206&lt;=TIMEVALUE("10:00"))*(②予約入力!$D$4:$D$206&gt;TIMEVALUE("10:00")),0)),""),"")</f>
        <v/>
      </c>
      <c r="D8" s="40" t="str">
        <f>IFERROR(IF(COUNTIFS(②予約入力!$B$4:$B$206,$B$3,②予約入力!$H$4:$H$206,"鈴木",②予約入力!$C$4:$C$206,"&lt;="&amp;TIMEVALUE("10:00"),②予約入力!$D$4:$D$206,"&gt;"&amp;TIMEVALUE("10:00"))&gt;0,INDEX(②予約入力!$F$4:$F$206,MATCH(1,(②予約入力!$B$4:$B$206=$B$3)*(②予約入力!$H$4:$H$206="鈴木")*(②予約入力!$C$4:$C$206&lt;=TIMEVALUE("10:00"))*(②予約入力!$D$4:$D$206&gt;TIMEVALUE("10:00")),0)),""),"")</f>
        <v/>
      </c>
    </row>
    <row r="9" spans="1:10" ht="19.5" customHeight="1">
      <c r="A9" s="41" t="s">
        <v>89</v>
      </c>
      <c r="B9" s="42" t="str">
        <f>IFERROR(IF(COUNTIFS(②予約入力!$B$4:$B$206,$B$3,②予約入力!$H$4:$H$206,"田中",②予約入力!$C$4:$C$206,"&lt;="&amp;TIMEVALUE("10:30"),②予約入力!$D$4:$D$206,"&gt;"&amp;TIMEVALUE("10:30"))&gt;0,INDEX(②予約入力!$F$4:$F$206,MATCH(1,(②予約入力!$B$4:$B$206=$B$3)*(②予約入力!$H$4:$H$206="田中")*(②予約入力!$C$4:$C$206&lt;=TIMEVALUE("10:30"))*(②予約入力!$D$4:$D$206&gt;TIMEVALUE("10:30")),0)),""),"")</f>
        <v/>
      </c>
      <c r="C9" s="42" t="str">
        <f>IFERROR(IF(COUNTIFS(②予約入力!$B$4:$B$206,$B$3,②予約入力!$H$4:$H$206,"佐藤",②予約入力!$C$4:$C$206,"&lt;="&amp;TIMEVALUE("10:30"),②予約入力!$D$4:$D$206,"&gt;"&amp;TIMEVALUE("10:30"))&gt;0,INDEX(②予約入力!$F$4:$F$206,MATCH(1,(②予約入力!$B$4:$B$206=$B$3)*(②予約入力!$H$4:$H$206="佐藤")*(②予約入力!$C$4:$C$206&lt;=TIMEVALUE("10:30"))*(②予約入力!$D$4:$D$206&gt;TIMEVALUE("10:30")),0)),""),"")</f>
        <v/>
      </c>
      <c r="D9" s="42" t="str">
        <f>IFERROR(IF(COUNTIFS(②予約入力!$B$4:$B$206,$B$3,②予約入力!$H$4:$H$206,"鈴木",②予約入力!$C$4:$C$206,"&lt;="&amp;TIMEVALUE("10:30"),②予約入力!$D$4:$D$206,"&gt;"&amp;TIMEVALUE("10:30"))&gt;0,INDEX(②予約入力!$F$4:$F$206,MATCH(1,(②予約入力!$B$4:$B$206=$B$3)*(②予約入力!$H$4:$H$206="鈴木")*(②予約入力!$C$4:$C$206&lt;=TIMEVALUE("10:30"))*(②予約入力!$D$4:$D$206&gt;TIMEVALUE("10:30")),0)),""),"")</f>
        <v/>
      </c>
    </row>
    <row r="10" spans="1:10" ht="19.5" customHeight="1">
      <c r="A10" s="39" t="s">
        <v>58</v>
      </c>
      <c r="B10" s="40" t="str">
        <f>IFERROR(IF(COUNTIFS(②予約入力!$B$4:$B$206,$B$3,②予約入力!$H$4:$H$206,"田中",②予約入力!$C$4:$C$206,"&lt;="&amp;TIMEVALUE("11:00"),②予約入力!$D$4:$D$206,"&gt;"&amp;TIMEVALUE("11:00"))&gt;0,INDEX(②予約入力!$F$4:$F$206,MATCH(1,(②予約入力!$B$4:$B$206=$B$3)*(②予約入力!$H$4:$H$206="田中")*(②予約入力!$C$4:$C$206&lt;=TIMEVALUE("11:00"))*(②予約入力!$D$4:$D$206&gt;TIMEVALUE("11:00")),0)),""),"")</f>
        <v/>
      </c>
      <c r="C10" s="40" t="str">
        <f>IFERROR(IF(COUNTIFS(②予約入力!$B$4:$B$206,$B$3,②予約入力!$H$4:$H$206,"佐藤",②予約入力!$C$4:$C$206,"&lt;="&amp;TIMEVALUE("11:00"),②予約入力!$D$4:$D$206,"&gt;"&amp;TIMEVALUE("11:00"))&gt;0,INDEX(②予約入力!$F$4:$F$206,MATCH(1,(②予約入力!$B$4:$B$206=$B$3)*(②予約入力!$H$4:$H$206="佐藤")*(②予約入力!$C$4:$C$206&lt;=TIMEVALUE("11:00"))*(②予約入力!$D$4:$D$206&gt;TIMEVALUE("11:00")),0)),""),"")</f>
        <v/>
      </c>
      <c r="D10" s="40" t="str">
        <f>IFERROR(IF(COUNTIFS(②予約入力!$B$4:$B$206,$B$3,②予約入力!$H$4:$H$206,"鈴木",②予約入力!$C$4:$C$206,"&lt;="&amp;TIMEVALUE("11:00"),②予約入力!$D$4:$D$206,"&gt;"&amp;TIMEVALUE("11:00"))&gt;0,INDEX(②予約入力!$F$4:$F$206,MATCH(1,(②予約入力!$B$4:$B$206=$B$3)*(②予約入力!$H$4:$H$206="鈴木")*(②予約入力!$C$4:$C$206&lt;=TIMEVALUE("11:00"))*(②予約入力!$D$4:$D$206&gt;TIMEVALUE("11:00")),0)),""),"")</f>
        <v/>
      </c>
    </row>
    <row r="11" spans="1:10" ht="19.5" customHeight="1">
      <c r="A11" s="41" t="s">
        <v>90</v>
      </c>
      <c r="B11" s="42" t="str">
        <f>IFERROR(IF(COUNTIFS(②予約入力!$B$4:$B$206,$B$3,②予約入力!$H$4:$H$206,"田中",②予約入力!$C$4:$C$206,"&lt;="&amp;TIMEVALUE("11:30"),②予約入力!$D$4:$D$206,"&gt;"&amp;TIMEVALUE("11:30"))&gt;0,INDEX(②予約入力!$F$4:$F$206,MATCH(1,(②予約入力!$B$4:$B$206=$B$3)*(②予約入力!$H$4:$H$206="田中")*(②予約入力!$C$4:$C$206&lt;=TIMEVALUE("11:30"))*(②予約入力!$D$4:$D$206&gt;TIMEVALUE("11:30")),0)),""),"")</f>
        <v/>
      </c>
      <c r="C11" s="42" t="str">
        <f>IFERROR(IF(COUNTIFS(②予約入力!$B$4:$B$206,$B$3,②予約入力!$H$4:$H$206,"佐藤",②予約入力!$C$4:$C$206,"&lt;="&amp;TIMEVALUE("11:30"),②予約入力!$D$4:$D$206,"&gt;"&amp;TIMEVALUE("11:30"))&gt;0,INDEX(②予約入力!$F$4:$F$206,MATCH(1,(②予約入力!$B$4:$B$206=$B$3)*(②予約入力!$H$4:$H$206="佐藤")*(②予約入力!$C$4:$C$206&lt;=TIMEVALUE("11:30"))*(②予約入力!$D$4:$D$206&gt;TIMEVALUE("11:30")),0)),""),"")</f>
        <v/>
      </c>
      <c r="D11" s="42" t="str">
        <f>IFERROR(IF(COUNTIFS(②予約入力!$B$4:$B$206,$B$3,②予約入力!$H$4:$H$206,"鈴木",②予約入力!$C$4:$C$206,"&lt;="&amp;TIMEVALUE("11:30"),②予約入力!$D$4:$D$206,"&gt;"&amp;TIMEVALUE("11:30"))&gt;0,INDEX(②予約入力!$F$4:$F$206,MATCH(1,(②予約入力!$B$4:$B$206=$B$3)*(②予約入力!$H$4:$H$206="鈴木")*(②予約入力!$C$4:$C$206&lt;=TIMEVALUE("11:30"))*(②予約入力!$D$4:$D$206&gt;TIMEVALUE("11:30")),0)),""),"")</f>
        <v/>
      </c>
    </row>
    <row r="12" spans="1:10" ht="19.5" customHeight="1">
      <c r="A12" s="39" t="s">
        <v>68</v>
      </c>
      <c r="B12" s="40" t="str">
        <f>IFERROR(IF(COUNTIFS(②予約入力!$B$4:$B$206,$B$3,②予約入力!$H$4:$H$206,"田中",②予約入力!$C$4:$C$206,"&lt;="&amp;TIMEVALUE("12:00"),②予約入力!$D$4:$D$206,"&gt;"&amp;TIMEVALUE("12:00"))&gt;0,INDEX(②予約入力!$F$4:$F$206,MATCH(1,(②予約入力!$B$4:$B$206=$B$3)*(②予約入力!$H$4:$H$206="田中")*(②予約入力!$C$4:$C$206&lt;=TIMEVALUE("12:00"))*(②予約入力!$D$4:$D$206&gt;TIMEVALUE("12:00")),0)),""),"")</f>
        <v/>
      </c>
      <c r="C12" s="40" t="str">
        <f>IFERROR(IF(COUNTIFS(②予約入力!$B$4:$B$206,$B$3,②予約入力!$H$4:$H$206,"佐藤",②予約入力!$C$4:$C$206,"&lt;="&amp;TIMEVALUE("12:00"),②予約入力!$D$4:$D$206,"&gt;"&amp;TIMEVALUE("12:00"))&gt;0,INDEX(②予約入力!$F$4:$F$206,MATCH(1,(②予約入力!$B$4:$B$206=$B$3)*(②予約入力!$H$4:$H$206="佐藤")*(②予約入力!$C$4:$C$206&lt;=TIMEVALUE("12:00"))*(②予約入力!$D$4:$D$206&gt;TIMEVALUE("12:00")),0)),""),"")</f>
        <v/>
      </c>
      <c r="D12" s="40" t="str">
        <f>IFERROR(IF(COUNTIFS(②予約入力!$B$4:$B$206,$B$3,②予約入力!$H$4:$H$206,"鈴木",②予約入力!$C$4:$C$206,"&lt;="&amp;TIMEVALUE("12:00"),②予約入力!$D$4:$D$206,"&gt;"&amp;TIMEVALUE("12:00"))&gt;0,INDEX(②予約入力!$F$4:$F$206,MATCH(1,(②予約入力!$B$4:$B$206=$B$3)*(②予約入力!$H$4:$H$206="鈴木")*(②予約入力!$C$4:$C$206&lt;=TIMEVALUE("12:00"))*(②予約入力!$D$4:$D$206&gt;TIMEVALUE("12:00")),0)),""),"")</f>
        <v/>
      </c>
    </row>
    <row r="13" spans="1:10" ht="19.5" customHeight="1">
      <c r="A13" s="41" t="s">
        <v>91</v>
      </c>
      <c r="B13" s="42" t="str">
        <f>IFERROR(IF(COUNTIFS(②予約入力!$B$4:$B$206,$B$3,②予約入力!$H$4:$H$206,"田中",②予約入力!$C$4:$C$206,"&lt;="&amp;TIMEVALUE("12:30"),②予約入力!$D$4:$D$206,"&gt;"&amp;TIMEVALUE("12:30"))&gt;0,INDEX(②予約入力!$F$4:$F$206,MATCH(1,(②予約入力!$B$4:$B$206=$B$3)*(②予約入力!$H$4:$H$206="田中")*(②予約入力!$C$4:$C$206&lt;=TIMEVALUE("12:30"))*(②予約入力!$D$4:$D$206&gt;TIMEVALUE("12:30")),0)),""),"")</f>
        <v/>
      </c>
      <c r="C13" s="42" t="str">
        <f>IFERROR(IF(COUNTIFS(②予約入力!$B$4:$B$206,$B$3,②予約入力!$H$4:$H$206,"佐藤",②予約入力!$C$4:$C$206,"&lt;="&amp;TIMEVALUE("12:30"),②予約入力!$D$4:$D$206,"&gt;"&amp;TIMEVALUE("12:30"))&gt;0,INDEX(②予約入力!$F$4:$F$206,MATCH(1,(②予約入力!$B$4:$B$206=$B$3)*(②予約入力!$H$4:$H$206="佐藤")*(②予約入力!$C$4:$C$206&lt;=TIMEVALUE("12:30"))*(②予約入力!$D$4:$D$206&gt;TIMEVALUE("12:30")),0)),""),"")</f>
        <v/>
      </c>
      <c r="D13" s="42" t="str">
        <f>IFERROR(IF(COUNTIFS(②予約入力!$B$4:$B$206,$B$3,②予約入力!$H$4:$H$206,"鈴木",②予約入力!$C$4:$C$206,"&lt;="&amp;TIMEVALUE("12:30"),②予約入力!$D$4:$D$206,"&gt;"&amp;TIMEVALUE("12:30"))&gt;0,INDEX(②予約入力!$F$4:$F$206,MATCH(1,(②予約入力!$B$4:$B$206=$B$3)*(②予約入力!$H$4:$H$206="鈴木")*(②予約入力!$C$4:$C$206&lt;=TIMEVALUE("12:30"))*(②予約入力!$D$4:$D$206&gt;TIMEVALUE("12:30")),0)),""),"")</f>
        <v/>
      </c>
    </row>
    <row r="14" spans="1:10" ht="19.5" customHeight="1">
      <c r="A14" s="39" t="s">
        <v>63</v>
      </c>
      <c r="B14" s="40" t="str">
        <f>IFERROR(IF(COUNTIFS(②予約入力!$B$4:$B$206,$B$3,②予約入力!$H$4:$H$206,"田中",②予約入力!$C$4:$C$206,"&lt;="&amp;TIMEVALUE("13:00"),②予約入力!$D$4:$D$206,"&gt;"&amp;TIMEVALUE("13:00"))&gt;0,INDEX(②予約入力!$F$4:$F$206,MATCH(1,(②予約入力!$B$4:$B$206=$B$3)*(②予約入力!$H$4:$H$206="田中")*(②予約入力!$C$4:$C$206&lt;=TIMEVALUE("13:00"))*(②予約入力!$D$4:$D$206&gt;TIMEVALUE("13:00")),0)),""),"")</f>
        <v/>
      </c>
      <c r="C14" s="40" t="str">
        <f>IFERROR(IF(COUNTIFS(②予約入力!$B$4:$B$206,$B$3,②予約入力!$H$4:$H$206,"佐藤",②予約入力!$C$4:$C$206,"&lt;="&amp;TIMEVALUE("13:00"),②予約入力!$D$4:$D$206,"&gt;"&amp;TIMEVALUE("13:00"))&gt;0,INDEX(②予約入力!$F$4:$F$206,MATCH(1,(②予約入力!$B$4:$B$206=$B$3)*(②予約入力!$H$4:$H$206="佐藤")*(②予約入力!$C$4:$C$206&lt;=TIMEVALUE("13:00"))*(②予約入力!$D$4:$D$206&gt;TIMEVALUE("13:00")),0)),""),"")</f>
        <v/>
      </c>
      <c r="D14" s="40" t="str">
        <f>IFERROR(IF(COUNTIFS(②予約入力!$B$4:$B$206,$B$3,②予約入力!$H$4:$H$206,"鈴木",②予約入力!$C$4:$C$206,"&lt;="&amp;TIMEVALUE("13:00"),②予約入力!$D$4:$D$206,"&gt;"&amp;TIMEVALUE("13:00"))&gt;0,INDEX(②予約入力!$F$4:$F$206,MATCH(1,(②予約入力!$B$4:$B$206=$B$3)*(②予約入力!$H$4:$H$206="鈴木")*(②予約入力!$C$4:$C$206&lt;=TIMEVALUE("13:00"))*(②予約入力!$D$4:$D$206&gt;TIMEVALUE("13:00")),0)),""),"")</f>
        <v/>
      </c>
    </row>
    <row r="15" spans="1:10" ht="19.5" customHeight="1">
      <c r="A15" s="41" t="s">
        <v>92</v>
      </c>
      <c r="B15" s="42" t="str">
        <f>IFERROR(IF(COUNTIFS(②予約入力!$B$4:$B$206,$B$3,②予約入力!$H$4:$H$206,"田中",②予約入力!$C$4:$C$206,"&lt;="&amp;TIMEVALUE("13:30"),②予約入力!$D$4:$D$206,"&gt;"&amp;TIMEVALUE("13:30"))&gt;0,INDEX(②予約入力!$F$4:$F$206,MATCH(1,(②予約入力!$B$4:$B$206=$B$3)*(②予約入力!$H$4:$H$206="田中")*(②予約入力!$C$4:$C$206&lt;=TIMEVALUE("13:30"))*(②予約入力!$D$4:$D$206&gt;TIMEVALUE("13:30")),0)),""),"")</f>
        <v/>
      </c>
      <c r="C15" s="42" t="str">
        <f>IFERROR(IF(COUNTIFS(②予約入力!$B$4:$B$206,$B$3,②予約入力!$H$4:$H$206,"佐藤",②予約入力!$C$4:$C$206,"&lt;="&amp;TIMEVALUE("13:30"),②予約入力!$D$4:$D$206,"&gt;"&amp;TIMEVALUE("13:30"))&gt;0,INDEX(②予約入力!$F$4:$F$206,MATCH(1,(②予約入力!$B$4:$B$206=$B$3)*(②予約入力!$H$4:$H$206="佐藤")*(②予約入力!$C$4:$C$206&lt;=TIMEVALUE("13:30"))*(②予約入力!$D$4:$D$206&gt;TIMEVALUE("13:30")),0)),""),"")</f>
        <v/>
      </c>
      <c r="D15" s="42" t="str">
        <f>IFERROR(IF(COUNTIFS(②予約入力!$B$4:$B$206,$B$3,②予約入力!$H$4:$H$206,"鈴木",②予約入力!$C$4:$C$206,"&lt;="&amp;TIMEVALUE("13:30"),②予約入力!$D$4:$D$206,"&gt;"&amp;TIMEVALUE("13:30"))&gt;0,INDEX(②予約入力!$F$4:$F$206,MATCH(1,(②予約入力!$B$4:$B$206=$B$3)*(②予約入力!$H$4:$H$206="鈴木")*(②予約入力!$C$4:$C$206&lt;=TIMEVALUE("13:30"))*(②予約入力!$D$4:$D$206&gt;TIMEVALUE("13:30")),0)),""),"")</f>
        <v/>
      </c>
    </row>
    <row r="16" spans="1:10" ht="19.5" customHeight="1">
      <c r="A16" s="39" t="s">
        <v>93</v>
      </c>
      <c r="B16" s="40" t="str">
        <f>IFERROR(IF(COUNTIFS(②予約入力!$B$4:$B$206,$B$3,②予約入力!$H$4:$H$206,"田中",②予約入力!$C$4:$C$206,"&lt;="&amp;TIMEVALUE("14:00"),②予約入力!$D$4:$D$206,"&gt;"&amp;TIMEVALUE("14:00"))&gt;0,INDEX(②予約入力!$F$4:$F$206,MATCH(1,(②予約入力!$B$4:$B$206=$B$3)*(②予約入力!$H$4:$H$206="田中")*(②予約入力!$C$4:$C$206&lt;=TIMEVALUE("14:00"))*(②予約入力!$D$4:$D$206&gt;TIMEVALUE("14:00")),0)),""),"")</f>
        <v/>
      </c>
      <c r="C16" s="40" t="str">
        <f>IFERROR(IF(COUNTIFS(②予約入力!$B$4:$B$206,$B$3,②予約入力!$H$4:$H$206,"佐藤",②予約入力!$C$4:$C$206,"&lt;="&amp;TIMEVALUE("14:00"),②予約入力!$D$4:$D$206,"&gt;"&amp;TIMEVALUE("14:00"))&gt;0,INDEX(②予約入力!$F$4:$F$206,MATCH(1,(②予約入力!$B$4:$B$206=$B$3)*(②予約入力!$H$4:$H$206="佐藤")*(②予約入力!$C$4:$C$206&lt;=TIMEVALUE("14:00"))*(②予約入力!$D$4:$D$206&gt;TIMEVALUE("14:00")),0)),""),"")</f>
        <v/>
      </c>
      <c r="D16" s="40" t="str">
        <f>IFERROR(IF(COUNTIFS(②予約入力!$B$4:$B$206,$B$3,②予約入力!$H$4:$H$206,"鈴木",②予約入力!$C$4:$C$206,"&lt;="&amp;TIMEVALUE("14:00"),②予約入力!$D$4:$D$206,"&gt;"&amp;TIMEVALUE("14:00"))&gt;0,INDEX(②予約入力!$F$4:$F$206,MATCH(1,(②予約入力!$B$4:$B$206=$B$3)*(②予約入力!$H$4:$H$206="鈴木")*(②予約入力!$C$4:$C$206&lt;=TIMEVALUE("14:00"))*(②予約入力!$D$4:$D$206&gt;TIMEVALUE("14:00")),0)),""),"")</f>
        <v/>
      </c>
    </row>
    <row r="17" spans="1:4" ht="19.5" customHeight="1">
      <c r="A17" s="41" t="s">
        <v>94</v>
      </c>
      <c r="B17" s="42" t="str">
        <f>IFERROR(IF(COUNTIFS(②予約入力!$B$4:$B$206,$B$3,②予約入力!$H$4:$H$206,"田中",②予約入力!$C$4:$C$206,"&lt;="&amp;TIMEVALUE("14:30"),②予約入力!$D$4:$D$206,"&gt;"&amp;TIMEVALUE("14:30"))&gt;0,INDEX(②予約入力!$F$4:$F$206,MATCH(1,(②予約入力!$B$4:$B$206=$B$3)*(②予約入力!$H$4:$H$206="田中")*(②予約入力!$C$4:$C$206&lt;=TIMEVALUE("14:30"))*(②予約入力!$D$4:$D$206&gt;TIMEVALUE("14:30")),0)),""),"")</f>
        <v/>
      </c>
      <c r="C17" s="42" t="str">
        <f>IFERROR(IF(COUNTIFS(②予約入力!$B$4:$B$206,$B$3,②予約入力!$H$4:$H$206,"佐藤",②予約入力!$C$4:$C$206,"&lt;="&amp;TIMEVALUE("14:30"),②予約入力!$D$4:$D$206,"&gt;"&amp;TIMEVALUE("14:30"))&gt;0,INDEX(②予約入力!$F$4:$F$206,MATCH(1,(②予約入力!$B$4:$B$206=$B$3)*(②予約入力!$H$4:$H$206="佐藤")*(②予約入力!$C$4:$C$206&lt;=TIMEVALUE("14:30"))*(②予約入力!$D$4:$D$206&gt;TIMEVALUE("14:30")),0)),""),"")</f>
        <v/>
      </c>
      <c r="D17" s="42" t="str">
        <f>IFERROR(IF(COUNTIFS(②予約入力!$B$4:$B$206,$B$3,②予約入力!$H$4:$H$206,"鈴木",②予約入力!$C$4:$C$206,"&lt;="&amp;TIMEVALUE("14:30"),②予約入力!$D$4:$D$206,"&gt;"&amp;TIMEVALUE("14:30"))&gt;0,INDEX(②予約入力!$F$4:$F$206,MATCH(1,(②予約入力!$B$4:$B$206=$B$3)*(②予約入力!$H$4:$H$206="鈴木")*(②予約入力!$C$4:$C$206&lt;=TIMEVALUE("14:30"))*(②予約入力!$D$4:$D$206&gt;TIMEVALUE("14:30")),0)),""),"")</f>
        <v/>
      </c>
    </row>
    <row r="18" spans="1:4" ht="19.5" customHeight="1">
      <c r="A18" s="39" t="s">
        <v>64</v>
      </c>
      <c r="B18" s="40" t="str">
        <f>IFERROR(IF(COUNTIFS(②予約入力!$B$4:$B$206,$B$3,②予約入力!$H$4:$H$206,"田中",②予約入力!$C$4:$C$206,"&lt;="&amp;TIMEVALUE("15:00"),②予約入力!$D$4:$D$206,"&gt;"&amp;TIMEVALUE("15:00"))&gt;0,INDEX(②予約入力!$F$4:$F$206,MATCH(1,(②予約入力!$B$4:$B$206=$B$3)*(②予約入力!$H$4:$H$206="田中")*(②予約入力!$C$4:$C$206&lt;=TIMEVALUE("15:00"))*(②予約入力!$D$4:$D$206&gt;TIMEVALUE("15:00")),0)),""),"")</f>
        <v/>
      </c>
      <c r="C18" s="40" t="str">
        <f>IFERROR(IF(COUNTIFS(②予約入力!$B$4:$B$206,$B$3,②予約入力!$H$4:$H$206,"佐藤",②予約入力!$C$4:$C$206,"&lt;="&amp;TIMEVALUE("15:00"),②予約入力!$D$4:$D$206,"&gt;"&amp;TIMEVALUE("15:00"))&gt;0,INDEX(②予約入力!$F$4:$F$206,MATCH(1,(②予約入力!$B$4:$B$206=$B$3)*(②予約入力!$H$4:$H$206="佐藤")*(②予約入力!$C$4:$C$206&lt;=TIMEVALUE("15:00"))*(②予約入力!$D$4:$D$206&gt;TIMEVALUE("15:00")),0)),""),"")</f>
        <v/>
      </c>
      <c r="D18" s="40" t="str">
        <f>IFERROR(IF(COUNTIFS(②予約入力!$B$4:$B$206,$B$3,②予約入力!$H$4:$H$206,"鈴木",②予約入力!$C$4:$C$206,"&lt;="&amp;TIMEVALUE("15:00"),②予約入力!$D$4:$D$206,"&gt;"&amp;TIMEVALUE("15:00"))&gt;0,INDEX(②予約入力!$F$4:$F$206,MATCH(1,(②予約入力!$B$4:$B$206=$B$3)*(②予約入力!$H$4:$H$206="鈴木")*(②予約入力!$C$4:$C$206&lt;=TIMEVALUE("15:00"))*(②予約入力!$D$4:$D$206&gt;TIMEVALUE("15:00")),0)),""),"")</f>
        <v/>
      </c>
    </row>
    <row r="19" spans="1:4" ht="19.5" customHeight="1">
      <c r="A19" s="41" t="s">
        <v>95</v>
      </c>
      <c r="B19" s="42" t="str">
        <f>IFERROR(IF(COUNTIFS(②予約入力!$B$4:$B$206,$B$3,②予約入力!$H$4:$H$206,"田中",②予約入力!$C$4:$C$206,"&lt;="&amp;TIMEVALUE("15:30"),②予約入力!$D$4:$D$206,"&gt;"&amp;TIMEVALUE("15:30"))&gt;0,INDEX(②予約入力!$F$4:$F$206,MATCH(1,(②予約入力!$B$4:$B$206=$B$3)*(②予約入力!$H$4:$H$206="田中")*(②予約入力!$C$4:$C$206&lt;=TIMEVALUE("15:30"))*(②予約入力!$D$4:$D$206&gt;TIMEVALUE("15:30")),0)),""),"")</f>
        <v/>
      </c>
      <c r="C19" s="42" t="str">
        <f>IFERROR(IF(COUNTIFS(②予約入力!$B$4:$B$206,$B$3,②予約入力!$H$4:$H$206,"佐藤",②予約入力!$C$4:$C$206,"&lt;="&amp;TIMEVALUE("15:30"),②予約入力!$D$4:$D$206,"&gt;"&amp;TIMEVALUE("15:30"))&gt;0,INDEX(②予約入力!$F$4:$F$206,MATCH(1,(②予約入力!$B$4:$B$206=$B$3)*(②予約入力!$H$4:$H$206="佐藤")*(②予約入力!$C$4:$C$206&lt;=TIMEVALUE("15:30"))*(②予約入力!$D$4:$D$206&gt;TIMEVALUE("15:30")),0)),""),"")</f>
        <v/>
      </c>
      <c r="D19" s="42" t="str">
        <f>IFERROR(IF(COUNTIFS(②予約入力!$B$4:$B$206,$B$3,②予約入力!$H$4:$H$206,"鈴木",②予約入力!$C$4:$C$206,"&lt;="&amp;TIMEVALUE("15:30"),②予約入力!$D$4:$D$206,"&gt;"&amp;TIMEVALUE("15:30"))&gt;0,INDEX(②予約入力!$F$4:$F$206,MATCH(1,(②予約入力!$B$4:$B$206=$B$3)*(②予約入力!$H$4:$H$206="鈴木")*(②予約入力!$C$4:$C$206&lt;=TIMEVALUE("15:30"))*(②予約入力!$D$4:$D$206&gt;TIMEVALUE("15:30")),0)),""),"")</f>
        <v/>
      </c>
    </row>
    <row r="20" spans="1:4" ht="19.5" customHeight="1">
      <c r="A20" s="39" t="s">
        <v>96</v>
      </c>
      <c r="B20" s="40" t="str">
        <f>IFERROR(IF(COUNTIFS(②予約入力!$B$4:$B$206,$B$3,②予約入力!$H$4:$H$206,"田中",②予約入力!$C$4:$C$206,"&lt;="&amp;TIMEVALUE("16:00"),②予約入力!$D$4:$D$206,"&gt;"&amp;TIMEVALUE("16:00"))&gt;0,INDEX(②予約入力!$F$4:$F$206,MATCH(1,(②予約入力!$B$4:$B$206=$B$3)*(②予約入力!$H$4:$H$206="田中")*(②予約入力!$C$4:$C$206&lt;=TIMEVALUE("16:00"))*(②予約入力!$D$4:$D$206&gt;TIMEVALUE("16:00")),0)),""),"")</f>
        <v/>
      </c>
      <c r="C20" s="40" t="str">
        <f>IFERROR(IF(COUNTIFS(②予約入力!$B$4:$B$206,$B$3,②予約入力!$H$4:$H$206,"佐藤",②予約入力!$C$4:$C$206,"&lt;="&amp;TIMEVALUE("16:00"),②予約入力!$D$4:$D$206,"&gt;"&amp;TIMEVALUE("16:00"))&gt;0,INDEX(②予約入力!$F$4:$F$206,MATCH(1,(②予約入力!$B$4:$B$206=$B$3)*(②予約入力!$H$4:$H$206="佐藤")*(②予約入力!$C$4:$C$206&lt;=TIMEVALUE("16:00"))*(②予約入力!$D$4:$D$206&gt;TIMEVALUE("16:00")),0)),""),"")</f>
        <v/>
      </c>
      <c r="D20" s="40" t="str">
        <f>IFERROR(IF(COUNTIFS(②予約入力!$B$4:$B$206,$B$3,②予約入力!$H$4:$H$206,"鈴木",②予約入力!$C$4:$C$206,"&lt;="&amp;TIMEVALUE("16:00"),②予約入力!$D$4:$D$206,"&gt;"&amp;TIMEVALUE("16:00"))&gt;0,INDEX(②予約入力!$F$4:$F$206,MATCH(1,(②予約入力!$B$4:$B$206=$B$3)*(②予約入力!$H$4:$H$206="鈴木")*(②予約入力!$C$4:$C$206&lt;=TIMEVALUE("16:00"))*(②予約入力!$D$4:$D$206&gt;TIMEVALUE("16:00")),0)),""),"")</f>
        <v/>
      </c>
    </row>
    <row r="21" spans="1:4" ht="19.5" customHeight="1">
      <c r="A21" s="41" t="s">
        <v>97</v>
      </c>
      <c r="B21" s="42" t="str">
        <f>IFERROR(IF(COUNTIFS(②予約入力!$B$4:$B$206,$B$3,②予約入力!$H$4:$H$206,"田中",②予約入力!$C$4:$C$206,"&lt;="&amp;TIMEVALUE("16:30"),②予約入力!$D$4:$D$206,"&gt;"&amp;TIMEVALUE("16:30"))&gt;0,INDEX(②予約入力!$F$4:$F$206,MATCH(1,(②予約入力!$B$4:$B$206=$B$3)*(②予約入力!$H$4:$H$206="田中")*(②予約入力!$C$4:$C$206&lt;=TIMEVALUE("16:30"))*(②予約入力!$D$4:$D$206&gt;TIMEVALUE("16:30")),0)),""),"")</f>
        <v/>
      </c>
      <c r="C21" s="42" t="str">
        <f>IFERROR(IF(COUNTIFS(②予約入力!$B$4:$B$206,$B$3,②予約入力!$H$4:$H$206,"佐藤",②予約入力!$C$4:$C$206,"&lt;="&amp;TIMEVALUE("16:30"),②予約入力!$D$4:$D$206,"&gt;"&amp;TIMEVALUE("16:30"))&gt;0,INDEX(②予約入力!$F$4:$F$206,MATCH(1,(②予約入力!$B$4:$B$206=$B$3)*(②予約入力!$H$4:$H$206="佐藤")*(②予約入力!$C$4:$C$206&lt;=TIMEVALUE("16:30"))*(②予約入力!$D$4:$D$206&gt;TIMEVALUE("16:30")),0)),""),"")</f>
        <v/>
      </c>
      <c r="D21" s="42" t="str">
        <f>IFERROR(IF(COUNTIFS(②予約入力!$B$4:$B$206,$B$3,②予約入力!$H$4:$H$206,"鈴木",②予約入力!$C$4:$C$206,"&lt;="&amp;TIMEVALUE("16:30"),②予約入力!$D$4:$D$206,"&gt;"&amp;TIMEVALUE("16:30"))&gt;0,INDEX(②予約入力!$F$4:$F$206,MATCH(1,(②予約入力!$B$4:$B$206=$B$3)*(②予約入力!$H$4:$H$206="鈴木")*(②予約入力!$C$4:$C$206&lt;=TIMEVALUE("16:30"))*(②予約入力!$D$4:$D$206&gt;TIMEVALUE("16:30")),0)),""),"")</f>
        <v/>
      </c>
    </row>
    <row r="22" spans="1:4" ht="19.5" customHeight="1">
      <c r="A22" s="39" t="s">
        <v>98</v>
      </c>
      <c r="B22" s="40" t="str">
        <f>IFERROR(IF(COUNTIFS(②予約入力!$B$4:$B$206,$B$3,②予約入力!$H$4:$H$206,"田中",②予約入力!$C$4:$C$206,"&lt;="&amp;TIMEVALUE("17:00"),②予約入力!$D$4:$D$206,"&gt;"&amp;TIMEVALUE("17:00"))&gt;0,INDEX(②予約入力!$F$4:$F$206,MATCH(1,(②予約入力!$B$4:$B$206=$B$3)*(②予約入力!$H$4:$H$206="田中")*(②予約入力!$C$4:$C$206&lt;=TIMEVALUE("17:00"))*(②予約入力!$D$4:$D$206&gt;TIMEVALUE("17:00")),0)),""),"")</f>
        <v/>
      </c>
      <c r="C22" s="40" t="str">
        <f>IFERROR(IF(COUNTIFS(②予約入力!$B$4:$B$206,$B$3,②予約入力!$H$4:$H$206,"佐藤",②予約入力!$C$4:$C$206,"&lt;="&amp;TIMEVALUE("17:00"),②予約入力!$D$4:$D$206,"&gt;"&amp;TIMEVALUE("17:00"))&gt;0,INDEX(②予約入力!$F$4:$F$206,MATCH(1,(②予約入力!$B$4:$B$206=$B$3)*(②予約入力!$H$4:$H$206="佐藤")*(②予約入力!$C$4:$C$206&lt;=TIMEVALUE("17:00"))*(②予約入力!$D$4:$D$206&gt;TIMEVALUE("17:00")),0)),""),"")</f>
        <v/>
      </c>
      <c r="D22" s="40" t="str">
        <f>IFERROR(IF(COUNTIFS(②予約入力!$B$4:$B$206,$B$3,②予約入力!$H$4:$H$206,"鈴木",②予約入力!$C$4:$C$206,"&lt;="&amp;TIMEVALUE("17:00"),②予約入力!$D$4:$D$206,"&gt;"&amp;TIMEVALUE("17:00"))&gt;0,INDEX(②予約入力!$F$4:$F$206,MATCH(1,(②予約入力!$B$4:$B$206=$B$3)*(②予約入力!$H$4:$H$206="鈴木")*(②予約入力!$C$4:$C$206&lt;=TIMEVALUE("17:00"))*(②予約入力!$D$4:$D$206&gt;TIMEVALUE("17:00")),0)),""),"")</f>
        <v/>
      </c>
    </row>
    <row r="23" spans="1:4" ht="19.5" customHeight="1">
      <c r="A23" s="41" t="s">
        <v>99</v>
      </c>
      <c r="B23" s="42" t="str">
        <f>IFERROR(IF(COUNTIFS(②予約入力!$B$4:$B$206,$B$3,②予約入力!$H$4:$H$206,"田中",②予約入力!$C$4:$C$206,"&lt;="&amp;TIMEVALUE("17:30"),②予約入力!$D$4:$D$206,"&gt;"&amp;TIMEVALUE("17:30"))&gt;0,INDEX(②予約入力!$F$4:$F$206,MATCH(1,(②予約入力!$B$4:$B$206=$B$3)*(②予約入力!$H$4:$H$206="田中")*(②予約入力!$C$4:$C$206&lt;=TIMEVALUE("17:30"))*(②予約入力!$D$4:$D$206&gt;TIMEVALUE("17:30")),0)),""),"")</f>
        <v/>
      </c>
      <c r="C23" s="42" t="str">
        <f>IFERROR(IF(COUNTIFS(②予約入力!$B$4:$B$206,$B$3,②予約入力!$H$4:$H$206,"佐藤",②予約入力!$C$4:$C$206,"&lt;="&amp;TIMEVALUE("17:30"),②予約入力!$D$4:$D$206,"&gt;"&amp;TIMEVALUE("17:30"))&gt;0,INDEX(②予約入力!$F$4:$F$206,MATCH(1,(②予約入力!$B$4:$B$206=$B$3)*(②予約入力!$H$4:$H$206="佐藤")*(②予約入力!$C$4:$C$206&lt;=TIMEVALUE("17:30"))*(②予約入力!$D$4:$D$206&gt;TIMEVALUE("17:30")),0)),""),"")</f>
        <v/>
      </c>
      <c r="D23" s="42" t="str">
        <f>IFERROR(IF(COUNTIFS(②予約入力!$B$4:$B$206,$B$3,②予約入力!$H$4:$H$206,"鈴木",②予約入力!$C$4:$C$206,"&lt;="&amp;TIMEVALUE("17:30"),②予約入力!$D$4:$D$206,"&gt;"&amp;TIMEVALUE("17:30"))&gt;0,INDEX(②予約入力!$F$4:$F$206,MATCH(1,(②予約入力!$B$4:$B$206=$B$3)*(②予約入力!$H$4:$H$206="鈴木")*(②予約入力!$C$4:$C$206&lt;=TIMEVALUE("17:30"))*(②予約入力!$D$4:$D$206&gt;TIMEVALUE("17:30")),0)),""),"")</f>
        <v/>
      </c>
    </row>
    <row r="24" spans="1:4" ht="19.5" customHeight="1">
      <c r="A24" s="39" t="s">
        <v>100</v>
      </c>
      <c r="B24" s="40" t="str">
        <f>IFERROR(IF(COUNTIFS(②予約入力!$B$4:$B$206,$B$3,②予約入力!$H$4:$H$206,"田中",②予約入力!$C$4:$C$206,"&lt;="&amp;TIMEVALUE("18:00"),②予約入力!$D$4:$D$206,"&gt;"&amp;TIMEVALUE("18:00"))&gt;0,INDEX(②予約入力!$F$4:$F$206,MATCH(1,(②予約入力!$B$4:$B$206=$B$3)*(②予約入力!$H$4:$H$206="田中")*(②予約入力!$C$4:$C$206&lt;=TIMEVALUE("18:00"))*(②予約入力!$D$4:$D$206&gt;TIMEVALUE("18:00")),0)),""),"")</f>
        <v/>
      </c>
      <c r="C24" s="40" t="str">
        <f>IFERROR(IF(COUNTIFS(②予約入力!$B$4:$B$206,$B$3,②予約入力!$H$4:$H$206,"佐藤",②予約入力!$C$4:$C$206,"&lt;="&amp;TIMEVALUE("18:00"),②予約入力!$D$4:$D$206,"&gt;"&amp;TIMEVALUE("18:00"))&gt;0,INDEX(②予約入力!$F$4:$F$206,MATCH(1,(②予約入力!$B$4:$B$206=$B$3)*(②予約入力!$H$4:$H$206="佐藤")*(②予約入力!$C$4:$C$206&lt;=TIMEVALUE("18:00"))*(②予約入力!$D$4:$D$206&gt;TIMEVALUE("18:00")),0)),""),"")</f>
        <v/>
      </c>
      <c r="D24" s="40" t="str">
        <f>IFERROR(IF(COUNTIFS(②予約入力!$B$4:$B$206,$B$3,②予約入力!$H$4:$H$206,"鈴木",②予約入力!$C$4:$C$206,"&lt;="&amp;TIMEVALUE("18:00"),②予約入力!$D$4:$D$206,"&gt;"&amp;TIMEVALUE("18:00"))&gt;0,INDEX(②予約入力!$F$4:$F$206,MATCH(1,(②予約入力!$B$4:$B$206=$B$3)*(②予約入力!$H$4:$H$206="鈴木")*(②予約入力!$C$4:$C$206&lt;=TIMEVALUE("18:00"))*(②予約入力!$D$4:$D$206&gt;TIMEVALUE("18:00")),0)),""),"")</f>
        <v/>
      </c>
    </row>
    <row r="25" spans="1:4" ht="19.5" customHeight="1">
      <c r="A25" s="41" t="s">
        <v>101</v>
      </c>
      <c r="B25" s="42" t="str">
        <f>IFERROR(IF(COUNTIFS(②予約入力!$B$4:$B$206,$B$3,②予約入力!$H$4:$H$206,"田中",②予約入力!$C$4:$C$206,"&lt;="&amp;TIMEVALUE("18:30"),②予約入力!$D$4:$D$206,"&gt;"&amp;TIMEVALUE("18:30"))&gt;0,INDEX(②予約入力!$F$4:$F$206,MATCH(1,(②予約入力!$B$4:$B$206=$B$3)*(②予約入力!$H$4:$H$206="田中")*(②予約入力!$C$4:$C$206&lt;=TIMEVALUE("18:30"))*(②予約入力!$D$4:$D$206&gt;TIMEVALUE("18:30")),0)),""),"")</f>
        <v/>
      </c>
      <c r="C25" s="42" t="str">
        <f>IFERROR(IF(COUNTIFS(②予約入力!$B$4:$B$206,$B$3,②予約入力!$H$4:$H$206,"佐藤",②予約入力!$C$4:$C$206,"&lt;="&amp;TIMEVALUE("18:30"),②予約入力!$D$4:$D$206,"&gt;"&amp;TIMEVALUE("18:30"))&gt;0,INDEX(②予約入力!$F$4:$F$206,MATCH(1,(②予約入力!$B$4:$B$206=$B$3)*(②予約入力!$H$4:$H$206="佐藤")*(②予約入力!$C$4:$C$206&lt;=TIMEVALUE("18:30"))*(②予約入力!$D$4:$D$206&gt;TIMEVALUE("18:30")),0)),""),"")</f>
        <v/>
      </c>
      <c r="D25" s="42" t="str">
        <f>IFERROR(IF(COUNTIFS(②予約入力!$B$4:$B$206,$B$3,②予約入力!$H$4:$H$206,"鈴木",②予約入力!$C$4:$C$206,"&lt;="&amp;TIMEVALUE("18:30"),②予約入力!$D$4:$D$206,"&gt;"&amp;TIMEVALUE("18:30"))&gt;0,INDEX(②予約入力!$F$4:$F$206,MATCH(1,(②予約入力!$B$4:$B$206=$B$3)*(②予約入力!$H$4:$H$206="鈴木")*(②予約入力!$C$4:$C$206&lt;=TIMEVALUE("18:30"))*(②予約入力!$D$4:$D$206&gt;TIMEVALUE("18:30")),0)),""),"")</f>
        <v/>
      </c>
    </row>
    <row r="26" spans="1:4" ht="19.5" customHeight="1">
      <c r="A26" s="39" t="s">
        <v>102</v>
      </c>
      <c r="B26" s="40" t="str">
        <f>IFERROR(IF(COUNTIFS(②予約入力!$B$4:$B$206,$B$3,②予約入力!$H$4:$H$206,"田中",②予約入力!$C$4:$C$206,"&lt;="&amp;TIMEVALUE("19:00"),②予約入力!$D$4:$D$206,"&gt;"&amp;TIMEVALUE("19:00"))&gt;0,INDEX(②予約入力!$F$4:$F$206,MATCH(1,(②予約入力!$B$4:$B$206=$B$3)*(②予約入力!$H$4:$H$206="田中")*(②予約入力!$C$4:$C$206&lt;=TIMEVALUE("19:00"))*(②予約入力!$D$4:$D$206&gt;TIMEVALUE("19:00")),0)),""),"")</f>
        <v/>
      </c>
      <c r="C26" s="40" t="str">
        <f>IFERROR(IF(COUNTIFS(②予約入力!$B$4:$B$206,$B$3,②予約入力!$H$4:$H$206,"佐藤",②予約入力!$C$4:$C$206,"&lt;="&amp;TIMEVALUE("19:00"),②予約入力!$D$4:$D$206,"&gt;"&amp;TIMEVALUE("19:00"))&gt;0,INDEX(②予約入力!$F$4:$F$206,MATCH(1,(②予約入力!$B$4:$B$206=$B$3)*(②予約入力!$H$4:$H$206="佐藤")*(②予約入力!$C$4:$C$206&lt;=TIMEVALUE("19:00"))*(②予約入力!$D$4:$D$206&gt;TIMEVALUE("19:00")),0)),""),"")</f>
        <v/>
      </c>
      <c r="D26" s="40" t="str">
        <f>IFERROR(IF(COUNTIFS(②予約入力!$B$4:$B$206,$B$3,②予約入力!$H$4:$H$206,"鈴木",②予約入力!$C$4:$C$206,"&lt;="&amp;TIMEVALUE("19:00"),②予約入力!$D$4:$D$206,"&gt;"&amp;TIMEVALUE("19:00"))&gt;0,INDEX(②予約入力!$F$4:$F$206,MATCH(1,(②予約入力!$B$4:$B$206=$B$3)*(②予約入力!$H$4:$H$206="鈴木")*(②予約入力!$C$4:$C$206&lt;=TIMEVALUE("19:00"))*(②予約入力!$D$4:$D$206&gt;TIMEVALUE("19:00")),0)),""),"")</f>
        <v/>
      </c>
    </row>
    <row r="27" spans="1:4" ht="19.5" customHeight="1">
      <c r="A27" s="41" t="s">
        <v>103</v>
      </c>
      <c r="B27" s="42" t="str">
        <f>IFERROR(IF(COUNTIFS(②予約入力!$B$4:$B$206,$B$3,②予約入力!$H$4:$H$206,"田中",②予約入力!$C$4:$C$206,"&lt;="&amp;TIMEVALUE("19:30"),②予約入力!$D$4:$D$206,"&gt;"&amp;TIMEVALUE("19:30"))&gt;0,INDEX(②予約入力!$F$4:$F$206,MATCH(1,(②予約入力!$B$4:$B$206=$B$3)*(②予約入力!$H$4:$H$206="田中")*(②予約入力!$C$4:$C$206&lt;=TIMEVALUE("19:30"))*(②予約入力!$D$4:$D$206&gt;TIMEVALUE("19:30")),0)),""),"")</f>
        <v/>
      </c>
      <c r="C27" s="42" t="str">
        <f>IFERROR(IF(COUNTIFS(②予約入力!$B$4:$B$206,$B$3,②予約入力!$H$4:$H$206,"佐藤",②予約入力!$C$4:$C$206,"&lt;="&amp;TIMEVALUE("19:30"),②予約入力!$D$4:$D$206,"&gt;"&amp;TIMEVALUE("19:30"))&gt;0,INDEX(②予約入力!$F$4:$F$206,MATCH(1,(②予約入力!$B$4:$B$206=$B$3)*(②予約入力!$H$4:$H$206="佐藤")*(②予約入力!$C$4:$C$206&lt;=TIMEVALUE("19:30"))*(②予約入力!$D$4:$D$206&gt;TIMEVALUE("19:30")),0)),""),"")</f>
        <v/>
      </c>
      <c r="D27" s="42" t="str">
        <f>IFERROR(IF(COUNTIFS(②予約入力!$B$4:$B$206,$B$3,②予約入力!$H$4:$H$206,"鈴木",②予約入力!$C$4:$C$206,"&lt;="&amp;TIMEVALUE("19:30"),②予約入力!$D$4:$D$206,"&gt;"&amp;TIMEVALUE("19:30"))&gt;0,INDEX(②予約入力!$F$4:$F$206,MATCH(1,(②予約入力!$B$4:$B$206=$B$3)*(②予約入力!$H$4:$H$206="鈴木")*(②予約入力!$C$4:$C$206&lt;=TIMEVALUE("19:30"))*(②予約入力!$D$4:$D$206&gt;TIMEVALUE("19:30")),0)),""),"")</f>
        <v/>
      </c>
    </row>
    <row r="28" spans="1:4" ht="19.5" customHeight="1">
      <c r="A28" s="39" t="s">
        <v>104</v>
      </c>
      <c r="B28" s="40" t="str">
        <f>IFERROR(IF(COUNTIFS(②予約入力!$B$4:$B$206,$B$3,②予約入力!$H$4:$H$206,"田中",②予約入力!$C$4:$C$206,"&lt;="&amp;TIMEVALUE("20:00"),②予約入力!$D$4:$D$206,"&gt;"&amp;TIMEVALUE("20:00"))&gt;0,INDEX(②予約入力!$F$4:$F$206,MATCH(1,(②予約入力!$B$4:$B$206=$B$3)*(②予約入力!$H$4:$H$206="田中")*(②予約入力!$C$4:$C$206&lt;=TIMEVALUE("20:00"))*(②予約入力!$D$4:$D$206&gt;TIMEVALUE("20:00")),0)),""),"")</f>
        <v/>
      </c>
      <c r="C28" s="40" t="str">
        <f>IFERROR(IF(COUNTIFS(②予約入力!$B$4:$B$206,$B$3,②予約入力!$H$4:$H$206,"佐藤",②予約入力!$C$4:$C$206,"&lt;="&amp;TIMEVALUE("20:00"),②予約入力!$D$4:$D$206,"&gt;"&amp;TIMEVALUE("20:00"))&gt;0,INDEX(②予約入力!$F$4:$F$206,MATCH(1,(②予約入力!$B$4:$B$206=$B$3)*(②予約入力!$H$4:$H$206="佐藤")*(②予約入力!$C$4:$C$206&lt;=TIMEVALUE("20:00"))*(②予約入力!$D$4:$D$206&gt;TIMEVALUE("20:00")),0)),""),"")</f>
        <v/>
      </c>
      <c r="D28" s="40" t="str">
        <f>IFERROR(IF(COUNTIFS(②予約入力!$B$4:$B$206,$B$3,②予約入力!$H$4:$H$206,"鈴木",②予約入力!$C$4:$C$206,"&lt;="&amp;TIMEVALUE("20:00"),②予約入力!$D$4:$D$206,"&gt;"&amp;TIMEVALUE("20:00"))&gt;0,INDEX(②予約入力!$F$4:$F$206,MATCH(1,(②予約入力!$B$4:$B$206=$B$3)*(②予約入力!$H$4:$H$206="鈴木")*(②予約入力!$C$4:$C$206&lt;=TIMEVALUE("20:00"))*(②予約入力!$D$4:$D$206&gt;TIMEVALUE("20:00")),0)),""),"")</f>
        <v/>
      </c>
    </row>
    <row r="29" spans="1:4" ht="19.5" customHeight="1">
      <c r="A29" s="41" t="s">
        <v>105</v>
      </c>
      <c r="B29" s="42" t="str">
        <f>IFERROR(IF(COUNTIFS(②予約入力!$B$4:$B$206,$B$3,②予約入力!$H$4:$H$206,"田中",②予約入力!$C$4:$C$206,"&lt;="&amp;TIMEVALUE("20:30"),②予約入力!$D$4:$D$206,"&gt;"&amp;TIMEVALUE("20:30"))&gt;0,INDEX(②予約入力!$F$4:$F$206,MATCH(1,(②予約入力!$B$4:$B$206=$B$3)*(②予約入力!$H$4:$H$206="田中")*(②予約入力!$C$4:$C$206&lt;=TIMEVALUE("20:30"))*(②予約入力!$D$4:$D$206&gt;TIMEVALUE("20:30")),0)),""),"")</f>
        <v/>
      </c>
      <c r="C29" s="42" t="str">
        <f>IFERROR(IF(COUNTIFS(②予約入力!$B$4:$B$206,$B$3,②予約入力!$H$4:$H$206,"佐藤",②予約入力!$C$4:$C$206,"&lt;="&amp;TIMEVALUE("20:30"),②予約入力!$D$4:$D$206,"&gt;"&amp;TIMEVALUE("20:30"))&gt;0,INDEX(②予約入力!$F$4:$F$206,MATCH(1,(②予約入力!$B$4:$B$206=$B$3)*(②予約入力!$H$4:$H$206="佐藤")*(②予約入力!$C$4:$C$206&lt;=TIMEVALUE("20:30"))*(②予約入力!$D$4:$D$206&gt;TIMEVALUE("20:30")),0)),""),"")</f>
        <v/>
      </c>
      <c r="D29" s="42" t="str">
        <f>IFERROR(IF(COUNTIFS(②予約入力!$B$4:$B$206,$B$3,②予約入力!$H$4:$H$206,"鈴木",②予約入力!$C$4:$C$206,"&lt;="&amp;TIMEVALUE("20:30"),②予約入力!$D$4:$D$206,"&gt;"&amp;TIMEVALUE("20:30"))&gt;0,INDEX(②予約入力!$F$4:$F$206,MATCH(1,(②予約入力!$B$4:$B$206=$B$3)*(②予約入力!$H$4:$H$206="鈴木")*(②予約入力!$C$4:$C$206&lt;=TIMEVALUE("20:30"))*(②予約入力!$D$4:$D$206&gt;TIMEVALUE("20:30")),0)),""),"")</f>
        <v/>
      </c>
    </row>
  </sheetData>
  <mergeCells count="3">
    <mergeCell ref="A1:J1"/>
    <mergeCell ref="A2:J2"/>
    <mergeCell ref="C3:H3"/>
  </mergeCells>
  <phoneticPr fontId="27"/>
  <conditionalFormatting sqref="B6:D29">
    <cfRule type="expression" dxfId="0" priority="2">
      <formula>B6&lt;&gt;""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📋 使い方ガイド</vt:lpstr>
      <vt:lpstr>①顧客マスタ</vt:lpstr>
      <vt:lpstr>②予約入力</vt:lpstr>
      <vt:lpstr>③カレンダー（月表示）</vt:lpstr>
      <vt:lpstr>④時間帯表（日表示）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hiromi mitugi</cp:lastModifiedBy>
  <cp:revision>0</cp:revision>
  <dcterms:created xsi:type="dcterms:W3CDTF">2026-05-28T11:43:45Z</dcterms:created>
  <dcterms:modified xsi:type="dcterms:W3CDTF">2026-05-29T03:00:12Z</dcterms:modified>
  <dc:language>en-US</dc:language>
</cp:coreProperties>
</file>