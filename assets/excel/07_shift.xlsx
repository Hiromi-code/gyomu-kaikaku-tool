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使い方ガイド" sheetId="1" state="visible" r:id="rId3"/>
    <sheet name="①従業員マスタ" sheetId="2" state="visible" r:id="rId4"/>
    <sheet name="②シフト入力" sheetId="3" state="visible" r:id="rId5"/>
    <sheet name="③勤怠記録" sheetId="4" state="visible" r:id="rId6"/>
    <sheet name="④給与計算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<sst xmlns="http://schemas.openxmlformats.org/spreadsheetml/2006/main" count="106" uniqueCount="90">
  <si>
    <t xml:space="preserve">⑦ シフト・勤怠管理</t>
  </si>
  <si>
    <t xml:space="preserve">従業員マスタ・シフト・勤怠・給与計算をまとめて管理するテンプレートです</t>
  </si>
  <si>
    <t xml:space="preserve">📂  シート構成</t>
  </si>
  <si>
    <t xml:space="preserve">シート名</t>
  </si>
  <si>
    <t xml:space="preserve">役割</t>
  </si>
  <si>
    <t xml:space="preserve">主な操作・入力</t>
  </si>
  <si>
    <t xml:space="preserve">①従業員マスタ</t>
  </si>
  <si>
    <t xml:space="preserve">従業員の基本情報・時給・所定労働時間を登録</t>
  </si>
  <si>
    <r>
      <rPr>
        <sz val="9"/>
        <color rgb="FF1A1A2E"/>
        <rFont val="Noto Sans CJK SC"/>
        <family val="2"/>
      </rPr>
      <t xml:space="preserve">従業員</t>
    </r>
    <r>
      <rPr>
        <sz val="9"/>
        <color rgb="FF1A1A2E"/>
        <rFont val="Arial"/>
        <family val="0"/>
        <charset val="1"/>
      </rPr>
      <t xml:space="preserve">ID</t>
    </r>
    <r>
      <rPr>
        <sz val="9"/>
        <color rgb="FF1A1A2E"/>
        <rFont val="Noto Sans CJK SC"/>
        <family val="2"/>
      </rPr>
      <t xml:space="preserve">は変更しないこと。②〜④のシートと紐づいている</t>
    </r>
  </si>
  <si>
    <t xml:space="preserve">②シフト入力</t>
  </si>
  <si>
    <t xml:space="preserve">月単位のシフト表を作成・管理</t>
  </si>
  <si>
    <r>
      <rPr>
        <sz val="9"/>
        <color rgb="FF1A1A2E"/>
        <rFont val="Noto Sans CJK SC"/>
        <family val="2"/>
      </rPr>
      <t xml:space="preserve">対象月（</t>
    </r>
    <r>
      <rPr>
        <sz val="9"/>
        <color rgb="FF1A1A2E"/>
        <rFont val="Arial"/>
        <family val="0"/>
        <charset val="1"/>
      </rPr>
      <t xml:space="preserve">B3</t>
    </r>
    <r>
      <rPr>
        <sz val="9"/>
        <color rgb="FF1A1A2E"/>
        <rFont val="Noto Sans CJK SC"/>
        <family val="2"/>
      </rPr>
      <t xml:space="preserve">）を入力すると日付・曜日が自動生成。出勤区分をドロップダウンで入力</t>
    </r>
  </si>
  <si>
    <t xml:space="preserve">③勤怠記録</t>
  </si>
  <si>
    <t xml:space="preserve">日々の実績（出退勤時間）を記録</t>
  </si>
  <si>
    <r>
      <rPr>
        <sz val="9"/>
        <color rgb="FF1A1A2E"/>
        <rFont val="Noto Sans CJK SC"/>
        <family val="2"/>
      </rPr>
      <t xml:space="preserve">従業員</t>
    </r>
    <r>
      <rPr>
        <sz val="9"/>
        <color rgb="FF1A1A2E"/>
        <rFont val="Arial"/>
        <family val="0"/>
        <charset val="1"/>
      </rPr>
      <t xml:space="preserve">ID</t>
    </r>
    <r>
      <rPr>
        <sz val="9"/>
        <color rgb="FF1A1A2E"/>
        <rFont val="Noto Sans CJK SC"/>
        <family val="2"/>
      </rPr>
      <t xml:space="preserve">を入力すると氏名が自動表示。実働時間・残業時間を自動計算</t>
    </r>
  </si>
  <si>
    <t xml:space="preserve">④給与計算</t>
  </si>
  <si>
    <t xml:space="preserve">月次の給与を従業員ごとに自動集計</t>
  </si>
  <si>
    <t xml:space="preserve">対象月を入力すると③の勤怠データから時間・給与を自動計算</t>
  </si>
  <si>
    <t xml:space="preserve">🔗  データの流れ（シート間のつながり）</t>
  </si>
  <si>
    <t xml:space="preserve">入力元シート</t>
  </si>
  <si>
    <t xml:space="preserve">参照先シート</t>
  </si>
  <si>
    <t xml:space="preserve">つながりの内容</t>
  </si>
  <si>
    <r>
      <rPr>
        <sz val="9"/>
        <color rgb="FF1A1A2E"/>
        <rFont val="Noto Sans CJK SC"/>
        <family val="2"/>
      </rPr>
      <t xml:space="preserve">従業員</t>
    </r>
    <r>
      <rPr>
        <sz val="9"/>
        <color rgb="FF1A1A2E"/>
        <rFont val="Arial"/>
        <family val="0"/>
        <charset val="1"/>
      </rPr>
      <t xml:space="preserve">ID</t>
    </r>
    <r>
      <rPr>
        <sz val="9"/>
        <color rgb="FF1A1A2E"/>
        <rFont val="Noto Sans CJK SC"/>
        <family val="2"/>
      </rPr>
      <t xml:space="preserve">で氏名・雇用形態を参照</t>
    </r>
  </si>
  <si>
    <r>
      <rPr>
        <sz val="9"/>
        <color rgb="FF1A1A2E"/>
        <rFont val="Noto Sans CJK SC"/>
        <family val="2"/>
      </rPr>
      <t xml:space="preserve">従業員</t>
    </r>
    <r>
      <rPr>
        <sz val="9"/>
        <color rgb="FF1A1A2E"/>
        <rFont val="Arial"/>
        <family val="0"/>
        <charset val="1"/>
      </rPr>
      <t xml:space="preserve">ID</t>
    </r>
    <r>
      <rPr>
        <sz val="9"/>
        <color rgb="FF1A1A2E"/>
        <rFont val="Noto Sans CJK SC"/>
        <family val="2"/>
      </rPr>
      <t xml:space="preserve">で氏名・時給・所定労働時間を参照</t>
    </r>
  </si>
  <si>
    <r>
      <rPr>
        <sz val="9"/>
        <color rgb="FF1A1A2E"/>
        <rFont val="Noto Sans CJK SC"/>
        <family val="2"/>
      </rPr>
      <t xml:space="preserve">従業員</t>
    </r>
    <r>
      <rPr>
        <sz val="9"/>
        <color rgb="FF1A1A2E"/>
        <rFont val="Arial"/>
        <family val="0"/>
        <charset val="1"/>
      </rPr>
      <t xml:space="preserve">ID</t>
    </r>
    <r>
      <rPr>
        <sz val="9"/>
        <color rgb="FF1A1A2E"/>
        <rFont val="Noto Sans CJK SC"/>
        <family val="2"/>
      </rPr>
      <t xml:space="preserve">で時給・所定労働時間を参照</t>
    </r>
  </si>
  <si>
    <t xml:space="preserve">対象月の実働時間・残業時間を集計して給与を自動計算</t>
  </si>
  <si>
    <t xml:space="preserve">💡 青字のセルは自動計算セルです。直接入力すると数式が消えるためご注意ください。</t>
  </si>
  <si>
    <t xml:space="preserve">💡 時給・所定労働時間は①従業員マスタに登録してください。変更すると④給与計算に自動反映されます。</t>
  </si>
  <si>
    <t xml:space="preserve">① 従業員マスタ　― 従業員の基本情報・雇用条件を登録します</t>
  </si>
  <si>
    <r>
      <rPr>
        <i val="true"/>
        <sz val="9"/>
        <color rgb="FF888888"/>
        <rFont val="Noto Sans CJK SC"/>
        <family val="2"/>
      </rPr>
      <t xml:space="preserve">※ 従業員</t>
    </r>
    <r>
      <rPr>
        <i val="true"/>
        <sz val="9"/>
        <color rgb="FF888888"/>
        <rFont val="Arial"/>
        <family val="0"/>
        <charset val="1"/>
      </rPr>
      <t xml:space="preserve">ID</t>
    </r>
    <r>
      <rPr>
        <i val="true"/>
        <sz val="9"/>
        <color rgb="FF888888"/>
        <rFont val="Noto Sans CJK SC"/>
        <family val="2"/>
      </rPr>
      <t xml:space="preserve">は変更しないでください。②〜④のシートと紐づいています。</t>
    </r>
  </si>
  <si>
    <r>
      <rPr>
        <b val="true"/>
        <sz val="10"/>
        <color rgb="FFFFFFFF"/>
        <rFont val="Noto Sans CJK SC"/>
        <family val="2"/>
      </rPr>
      <t xml:space="preserve">従業員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</si>
  <si>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氏名</t>
  </si>
  <si>
    <t xml:space="preserve">フリガナ</t>
  </si>
  <si>
    <t xml:space="preserve">雇用形態</t>
  </si>
  <si>
    <t xml:space="preserve">時給（円）</t>
  </si>
  <si>
    <r>
      <rPr>
        <b val="true"/>
        <sz val="10"/>
        <color rgb="FFFFFFFF"/>
        <rFont val="Noto Sans CJK SC"/>
        <family val="2"/>
      </rPr>
      <t xml:space="preserve">所定労働時間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日</t>
    </r>
  </si>
  <si>
    <t xml:space="preserve">連絡先</t>
  </si>
  <si>
    <t xml:space="preserve">入社日</t>
  </si>
  <si>
    <t xml:space="preserve">備考</t>
  </si>
  <si>
    <t xml:space="preserve">E001</t>
  </si>
  <si>
    <t xml:space="preserve">田中一郎</t>
  </si>
  <si>
    <t xml:space="preserve">タナカイチロウ</t>
  </si>
  <si>
    <t xml:space="preserve">正社員</t>
  </si>
  <si>
    <t xml:space="preserve">090-1111-2222</t>
  </si>
  <si>
    <t xml:space="preserve">2023/04/01</t>
  </si>
  <si>
    <t xml:space="preserve">店長</t>
  </si>
  <si>
    <t xml:space="preserve">E002</t>
  </si>
  <si>
    <t xml:space="preserve">鈴木花子</t>
  </si>
  <si>
    <t xml:space="preserve">スズキハナコ</t>
  </si>
  <si>
    <t xml:space="preserve">パート</t>
  </si>
  <si>
    <t xml:space="preserve">080-3333-4444</t>
  </si>
  <si>
    <t xml:space="preserve">2024/01/15</t>
  </si>
  <si>
    <t xml:space="preserve">E003</t>
  </si>
  <si>
    <t xml:space="preserve">佐藤次郎</t>
  </si>
  <si>
    <t xml:space="preserve">サトウジロウ</t>
  </si>
  <si>
    <t xml:space="preserve">アルバイト</t>
  </si>
  <si>
    <t xml:space="preserve">070-5555-6666</t>
  </si>
  <si>
    <t xml:space="preserve">2024/06/01</t>
  </si>
  <si>
    <t xml:space="preserve">学生</t>
  </si>
  <si>
    <t xml:space="preserve">② シフト入力　― 月単位のシフト表を作成します</t>
  </si>
  <si>
    <r>
      <rPr>
        <i val="true"/>
        <sz val="9"/>
        <color rgb="FF888888"/>
        <rFont val="Arial"/>
        <family val="0"/>
        <charset val="1"/>
      </rPr>
      <t xml:space="preserve">※ B3</t>
    </r>
    <r>
      <rPr>
        <i val="true"/>
        <sz val="9"/>
        <color rgb="FF888888"/>
        <rFont val="Noto Sans CJK SC"/>
        <family val="2"/>
      </rPr>
      <t xml:space="preserve">セルに対象月を入力すると日付・曜日が自動生成されます。出勤区分をドロップダウンで選択してください。</t>
    </r>
  </si>
  <si>
    <t xml:space="preserve">対象月</t>
  </si>
  <si>
    <t xml:space="preserve">2025/06</t>
  </si>
  <si>
    <r>
      <rPr>
        <i val="true"/>
        <sz val="9"/>
        <color rgb="FFE06930"/>
        <rFont val="Noto Sans CJK SC"/>
        <family val="2"/>
      </rPr>
      <t xml:space="preserve">← ここに対象月を入力（例：</t>
    </r>
    <r>
      <rPr>
        <i val="true"/>
        <sz val="9"/>
        <color rgb="FFE06930"/>
        <rFont val="Arial"/>
        <family val="0"/>
        <charset val="1"/>
      </rPr>
      <t xml:space="preserve">2025/06</t>
    </r>
    <r>
      <rPr>
        <i val="true"/>
        <sz val="9"/>
        <color rgb="FFE06930"/>
        <rFont val="Noto Sans CJK SC"/>
        <family val="2"/>
      </rPr>
      <t xml:space="preserve">）</t>
    </r>
  </si>
  <si>
    <r>
      <rPr>
        <sz val="9"/>
        <color rgb="FF1A1A2E"/>
        <rFont val="Noto Sans CJK SC"/>
        <family val="2"/>
      </rPr>
      <t xml:space="preserve">【出勤区分】　○：出勤　</t>
    </r>
    <r>
      <rPr>
        <sz val="9"/>
        <color rgb="FF1A1A2E"/>
        <rFont val="Arial"/>
        <family val="0"/>
        <charset val="1"/>
      </rPr>
      <t xml:space="preserve">×</t>
    </r>
    <r>
      <rPr>
        <sz val="9"/>
        <color rgb="FF1A1A2E"/>
        <rFont val="Noto Sans CJK SC"/>
        <family val="2"/>
      </rPr>
      <t xml:space="preserve">：休み　有：有休　半：半休　特：特休</t>
    </r>
  </si>
  <si>
    <r>
      <rPr>
        <b val="true"/>
        <sz val="9"/>
        <color rgb="FFFFFFFF"/>
        <rFont val="Noto Sans CJK SC"/>
        <family val="2"/>
      </rPr>
      <t xml:space="preserve">従業員</t>
    </r>
    <r>
      <rPr>
        <b val="true"/>
        <sz val="9"/>
        <color rgb="FFFFFFFF"/>
        <rFont val="Arial"/>
        <family val="0"/>
        <charset val="1"/>
      </rPr>
      <t xml:space="preserve">ID</t>
    </r>
  </si>
  <si>
    <t xml:space="preserve">氏名（自動）</t>
  </si>
  <si>
    <t xml:space="preserve">出勤日数</t>
  </si>
  <si>
    <t xml:space="preserve">③ 勤怠記録　― 日々の出退勤時間を記録します</t>
  </si>
  <si>
    <r>
      <rPr>
        <i val="true"/>
        <sz val="9"/>
        <color rgb="FF888888"/>
        <rFont val="Noto Sans CJK SC"/>
        <family val="2"/>
      </rPr>
      <t xml:space="preserve">※ 従業員</t>
    </r>
    <r>
      <rPr>
        <i val="true"/>
        <sz val="9"/>
        <color rgb="FF888888"/>
        <rFont val="Arial"/>
        <family val="0"/>
        <charset val="1"/>
      </rPr>
      <t xml:space="preserve">ID</t>
    </r>
    <r>
      <rPr>
        <i val="true"/>
        <sz val="9"/>
        <color rgb="FF888888"/>
        <rFont val="Noto Sans CJK SC"/>
        <family val="2"/>
      </rPr>
      <t xml:space="preserve">を入力すると氏名・所定労働時間が自動表示されます。実働・残業時間を自動計算します。</t>
    </r>
  </si>
  <si>
    <r>
      <rPr>
        <b val="true"/>
        <sz val="10"/>
        <color rgb="FFFFFFFF"/>
        <rFont val="Noto Sans CJK SC"/>
        <family val="2"/>
      </rPr>
      <t xml:space="preserve">記録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</si>
  <si>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日付</t>
  </si>
  <si>
    <t xml:space="preserve">出勤時間</t>
  </si>
  <si>
    <t xml:space="preserve">退勤時間</t>
  </si>
  <si>
    <r>
      <rPr>
        <b val="true"/>
        <sz val="10"/>
        <color rgb="FFFFFFFF"/>
        <rFont val="Noto Sans CJK SC"/>
        <family val="2"/>
      </rPr>
      <t xml:space="preserve">休憩時間（</t>
    </r>
    <r>
      <rPr>
        <b val="true"/>
        <sz val="10"/>
        <color rgb="FFFFFFFF"/>
        <rFont val="Arial"/>
        <family val="0"/>
        <charset val="1"/>
      </rPr>
      <t xml:space="preserve">h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</si>
  <si>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実働時間（自動）</t>
  </si>
  <si>
    <t xml:space="preserve">所定労働時間（自動）</t>
  </si>
  <si>
    <t xml:space="preserve">残業時間（自動）</t>
  </si>
  <si>
    <t xml:space="preserve">④ 給与計算　― 月次の給与を従業員ごとに自動集計します</t>
  </si>
  <si>
    <r>
      <rPr>
        <i val="true"/>
        <sz val="9"/>
        <color rgb="FF888888"/>
        <rFont val="Noto Sans CJK SC"/>
        <family val="2"/>
      </rPr>
      <t xml:space="preserve">※ 対象月（</t>
    </r>
    <r>
      <rPr>
        <i val="true"/>
        <sz val="9"/>
        <color rgb="FF888888"/>
        <rFont val="Arial"/>
        <family val="0"/>
        <charset val="1"/>
      </rPr>
      <t xml:space="preserve">B3</t>
    </r>
    <r>
      <rPr>
        <i val="true"/>
        <sz val="9"/>
        <color rgb="FF888888"/>
        <rFont val="Noto Sans CJK SC"/>
        <family val="2"/>
      </rPr>
      <t xml:space="preserve">）を入力すると③勤怠記録から実働・残業時間を自動集計し、給与を計算します。</t>
    </r>
  </si>
  <si>
    <r>
      <rPr>
        <i val="true"/>
        <sz val="9"/>
        <color rgb="FFE06930"/>
        <rFont val="Noto Sans CJK SC"/>
        <family val="2"/>
      </rPr>
      <t xml:space="preserve">← ここに対象月を入力してください（例：</t>
    </r>
    <r>
      <rPr>
        <i val="true"/>
        <sz val="9"/>
        <color rgb="FFE06930"/>
        <rFont val="Arial"/>
        <family val="0"/>
        <charset val="1"/>
      </rPr>
      <t xml:space="preserve">2025/06</t>
    </r>
    <r>
      <rPr>
        <i val="true"/>
        <sz val="9"/>
        <color rgb="FFE06930"/>
        <rFont val="Noto Sans CJK SC"/>
        <family val="2"/>
      </rPr>
      <t xml:space="preserve">）</t>
    </r>
  </si>
  <si>
    <r>
      <rPr>
        <i val="true"/>
        <sz val="9"/>
        <color rgb="FF888888"/>
        <rFont val="Noto Sans CJK SC"/>
        <family val="2"/>
      </rPr>
      <t xml:space="preserve">※ 残業代は基本時給</t>
    </r>
    <r>
      <rPr>
        <i val="true"/>
        <sz val="9"/>
        <color rgb="FF888888"/>
        <rFont val="Arial"/>
        <family val="0"/>
        <charset val="1"/>
      </rPr>
      <t xml:space="preserve">×1.25</t>
    </r>
    <r>
      <rPr>
        <i val="true"/>
        <sz val="9"/>
        <color rgb="FF888888"/>
        <rFont val="Noto Sans CJK SC"/>
        <family val="2"/>
      </rPr>
      <t xml:space="preserve">で計算しています（変更可）</t>
    </r>
  </si>
  <si>
    <t xml:space="preserve">雇用形態（自動）</t>
  </si>
  <si>
    <t xml:space="preserve">時給（自動）</t>
  </si>
  <si>
    <t xml:space="preserve">実働時間合計</t>
  </si>
  <si>
    <t xml:space="preserve">残業時間合計</t>
  </si>
  <si>
    <t xml:space="preserve">基本給（自動）</t>
  </si>
  <si>
    <t xml:space="preserve">残業代（自動）</t>
  </si>
  <si>
    <t xml:space="preserve">支給合計（自動）</t>
  </si>
  <si>
    <t xml:space="preserve">合計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</si>
</sst>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yyyy/mm/dd"/>
    <numFmt numFmtId="168" formatCode="yyyy/mm"/>
    <numFmt numFmtId="169" formatCode="d"/>
    <numFmt numFmtId="170" formatCode="hh:mm"/>
    <numFmt numFmtId="171" formatCode="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oto Sans CJK SC"/>
      <family val="2"/>
    </font>
    <font>
      <i val="true"/>
      <sz val="10"/>
      <color rgb="FFA0522D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9"/>
      <color rgb="FFFFFFFF"/>
      <name val="Noto Sans CJK SC"/>
      <family val="2"/>
    </font>
    <font>
      <b val="true"/>
      <sz val="10"/>
      <color rgb="FFA0522D"/>
      <name val="Noto Sans CJK SC"/>
      <family val="2"/>
    </font>
    <font>
      <sz val="9"/>
      <color rgb="FF1A1A2E"/>
      <name val="Noto Sans CJK SC"/>
      <family val="2"/>
    </font>
    <font>
      <sz val="9"/>
      <color rgb="FF1A1A2E"/>
      <name val="Arial"/>
      <family val="0"/>
      <charset val="1"/>
    </font>
    <font>
      <b val="true"/>
      <sz val="9"/>
      <color rgb="FFA0522D"/>
      <name val="Noto Sans CJK SC"/>
      <family val="2"/>
    </font>
    <font>
      <i val="true"/>
      <sz val="9"/>
      <color rgb="FFE06930"/>
      <name val="Noto Sans CJK SC"/>
      <family val="2"/>
    </font>
    <font>
      <i val="true"/>
      <sz val="9"/>
      <color rgb="FFA0522D"/>
      <name val="Noto Sans CJK SC"/>
      <family val="2"/>
    </font>
    <font>
      <b val="true"/>
      <sz val="13"/>
      <color rgb="FFA0522D"/>
      <name val="Noto Sans CJK SC"/>
      <family val="2"/>
    </font>
    <font>
      <i val="true"/>
      <sz val="9"/>
      <color rgb="FF888888"/>
      <name val="Noto Sans CJK SC"/>
      <family val="2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i val="true"/>
      <sz val="10"/>
      <color rgb="FFAAAAAA"/>
      <name val="Noto Sans CJK SC"/>
      <family val="2"/>
    </font>
    <font>
      <sz val="10"/>
      <color rgb="FF1A1A2E"/>
      <name val="Arial"/>
      <family val="0"/>
      <charset val="1"/>
    </font>
    <font>
      <b val="true"/>
      <sz val="12"/>
      <color rgb="FFA0522D"/>
      <name val="Arial"/>
      <family val="0"/>
      <charset val="1"/>
    </font>
    <font>
      <i val="true"/>
      <sz val="9"/>
      <color rgb="FFE0693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b val="true"/>
      <sz val="11"/>
      <color rgb="FFA0522D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A0522D"/>
        <bgColor rgb="FF9C5700"/>
      </patternFill>
    </fill>
    <fill>
      <patternFill patternType="solid">
        <fgColor rgb="FF7B3F00"/>
        <bgColor rgb="FF9C5700"/>
      </patternFill>
    </fill>
    <fill>
      <patternFill patternType="solid">
        <fgColor rgb="FFF5EDE6"/>
        <bgColor rgb="FFEEEEEE"/>
      </patternFill>
    </fill>
    <fill>
      <patternFill patternType="solid">
        <fgColor rgb="FFFFFFFF"/>
        <bgColor rgb="FFEEEEE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7B3F00"/>
      </left>
      <right/>
      <top style="medium">
        <color rgb="FF7B3F00"/>
      </top>
      <bottom style="medium">
        <color rgb="FF7B3F00"/>
      </bottom>
      <diagonal/>
    </border>
    <border diagonalUp="false" diagonalDown="false">
      <left style="thin">
        <color rgb="FFA0522D"/>
      </left>
      <right/>
      <top style="thin">
        <color rgb="FFA0522D"/>
      </top>
      <bottom style="thin">
        <color rgb="FFA0522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A0522D"/>
      </left>
      <right style="thin">
        <color rgb="FFA0522D"/>
      </right>
      <top style="thin">
        <color rgb="FFA0522D"/>
      </top>
      <bottom style="thin">
        <color rgb="FFA0522D"/>
      </bottom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9" fillId="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Arial"/>
        <charset val="1"/>
        <family val="0"/>
        <b val="1"/>
        <color rgb="FFE06930"/>
        <sz val="8"/>
      </font>
      <fill>
        <patternFill>
          <bgColor rgb="FFFFE0E0"/>
        </patternFill>
      </fill>
    </dxf>
    <dxf>
      <font>
        <name val="Arial"/>
        <charset val="1"/>
        <family val="0"/>
        <b val="1"/>
        <color rgb="FF1C559A"/>
        <sz val="8"/>
      </font>
      <fill>
        <patternFill>
          <bgColor rgb="FFE0E8FF"/>
        </patternFill>
      </fill>
    </dxf>
    <dxf>
      <font>
        <name val="Arial"/>
        <charset val="1"/>
        <family val="0"/>
        <b val="1"/>
        <color rgb="FF276221"/>
        <sz val="9"/>
      </font>
      <fill>
        <patternFill>
          <bgColor rgb="FFC6EFCE"/>
        </patternFill>
      </fill>
    </dxf>
    <dxf>
      <font>
        <name val="Arial"/>
        <charset val="1"/>
        <family val="0"/>
        <color rgb="FFAAAAAA"/>
        <sz val="9"/>
      </font>
      <fill>
        <patternFill>
          <bgColor rgb="FFEEEEEE"/>
        </patternFill>
      </fill>
    </dxf>
    <dxf>
      <font>
        <name val="Arial"/>
        <charset val="1"/>
        <family val="0"/>
        <b val="1"/>
        <color rgb="FF9C5700"/>
        <sz val="9"/>
      </font>
      <fill>
        <patternFill>
          <bgColor rgb="FFFFEB9C"/>
        </patternFill>
      </fill>
    </dxf>
    <dxf>
      <fill>
        <patternFill>
          <bgColor rgb="FFFFF2CC"/>
        </patternFill>
      </fill>
    </dxf>
    <dxf>
      <font>
        <name val="Arial"/>
        <charset val="1"/>
        <family val="0"/>
        <b val="1"/>
        <color rgb="FFA0522D"/>
        <sz val="11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9C5700"/>
      <rgbColor rgb="FF800080"/>
      <rgbColor rgb="FF008080"/>
      <rgbColor rgb="FFFFE0E0"/>
      <rgbColor rgb="FF888888"/>
      <rgbColor rgb="FF9999FF"/>
      <rgbColor rgb="FFA0522D"/>
      <rgbColor rgb="FFFFF2CC"/>
      <rgbColor rgb="FFE0E8FF"/>
      <rgbColor rgb="FF660066"/>
      <rgbColor rgb="FFFF8080"/>
      <rgbColor rgb="FF0070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6EFCE"/>
      <rgbColor rgb="FFFFEB9C"/>
      <rgbColor rgb="FFF5EDE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06930"/>
      <rgbColor rgb="FF666699"/>
      <rgbColor rgb="FFAAAAAA"/>
      <rgbColor rgb="FF003366"/>
      <rgbColor rgb="FF339966"/>
      <rgbColor rgb="FF003300"/>
      <rgbColor rgb="FF333300"/>
      <rgbColor rgb="FF7B3F00"/>
      <rgbColor rgb="FF993366"/>
      <rgbColor rgb="FF1C559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F00"/>
    <pageSetUpPr fitToPage="false"/>
  </sheetPr>
  <dimension ref="B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38"/>
    <col collapsed="false" customWidth="true" hidden="false" outlineLevel="0" max="5" min="5" style="0" width="3"/>
  </cols>
  <sheetData>
    <row r="1" customFormat="false" ht="24" hidden="false" customHeight="true" outlineLevel="0" collapsed="false"/>
    <row r="2" customFormat="false" ht="15.7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4" customFormat="false" ht="7.5" hidden="false" customHeight="true" outlineLevel="0" collapsed="false"/>
    <row r="5" customFormat="false" ht="25.5" hidden="false" customHeight="true" outlineLevel="0" collapsed="false">
      <c r="B5" s="3" t="s">
        <v>2</v>
      </c>
      <c r="C5" s="3"/>
      <c r="D5" s="3"/>
    </row>
    <row r="6" customFormat="false" ht="21.75" hidden="false" customHeight="true" outlineLevel="0" collapsed="false">
      <c r="B6" s="4" t="s">
        <v>3</v>
      </c>
      <c r="C6" s="4" t="s">
        <v>4</v>
      </c>
      <c r="D6" s="4" t="s">
        <v>5</v>
      </c>
    </row>
    <row r="7" customFormat="false" ht="27.75" hidden="false" customHeight="true" outlineLevel="0" collapsed="false">
      <c r="B7" s="5" t="s">
        <v>6</v>
      </c>
      <c r="C7" s="6" t="s">
        <v>7</v>
      </c>
      <c r="D7" s="6" t="s">
        <v>8</v>
      </c>
    </row>
    <row r="8" customFormat="false" ht="27.75" hidden="false" customHeight="true" outlineLevel="0" collapsed="false">
      <c r="B8" s="7" t="s">
        <v>9</v>
      </c>
      <c r="C8" s="8" t="s">
        <v>10</v>
      </c>
      <c r="D8" s="8" t="s">
        <v>11</v>
      </c>
    </row>
    <row r="9" customFormat="false" ht="27.75" hidden="false" customHeight="true" outlineLevel="0" collapsed="false">
      <c r="B9" s="5" t="s">
        <v>12</v>
      </c>
      <c r="C9" s="6" t="s">
        <v>13</v>
      </c>
      <c r="D9" s="6" t="s">
        <v>14</v>
      </c>
    </row>
    <row r="10" customFormat="false" ht="27.75" hidden="false" customHeight="true" outlineLevel="0" collapsed="false">
      <c r="B10" s="7" t="s">
        <v>15</v>
      </c>
      <c r="C10" s="8" t="s">
        <v>16</v>
      </c>
      <c r="D10" s="8" t="s">
        <v>17</v>
      </c>
    </row>
    <row r="12" customFormat="false" ht="12" hidden="false" customHeight="true" outlineLevel="0" collapsed="false"/>
    <row r="13" customFormat="false" ht="25.5" hidden="false" customHeight="true" outlineLevel="0" collapsed="false">
      <c r="B13" s="3" t="s">
        <v>18</v>
      </c>
      <c r="C13" s="3"/>
      <c r="D13" s="3"/>
    </row>
    <row r="14" customFormat="false" ht="21.75" hidden="false" customHeight="true" outlineLevel="0" collapsed="false">
      <c r="B14" s="4" t="s">
        <v>19</v>
      </c>
      <c r="C14" s="4" t="s">
        <v>20</v>
      </c>
      <c r="D14" s="4" t="s">
        <v>21</v>
      </c>
    </row>
    <row r="15" customFormat="false" ht="21.75" hidden="false" customHeight="true" outlineLevel="0" collapsed="false">
      <c r="B15" s="9" t="s">
        <v>6</v>
      </c>
      <c r="C15" s="9" t="s">
        <v>9</v>
      </c>
      <c r="D15" s="6" t="s">
        <v>22</v>
      </c>
    </row>
    <row r="16" customFormat="false" ht="21.75" hidden="false" customHeight="true" outlineLevel="0" collapsed="false">
      <c r="B16" s="10" t="s">
        <v>6</v>
      </c>
      <c r="C16" s="10" t="s">
        <v>12</v>
      </c>
      <c r="D16" s="8" t="s">
        <v>23</v>
      </c>
    </row>
    <row r="17" customFormat="false" ht="21.75" hidden="false" customHeight="true" outlineLevel="0" collapsed="false">
      <c r="B17" s="9" t="s">
        <v>6</v>
      </c>
      <c r="C17" s="9" t="s">
        <v>15</v>
      </c>
      <c r="D17" s="6" t="s">
        <v>24</v>
      </c>
    </row>
    <row r="18" customFormat="false" ht="21.75" hidden="false" customHeight="true" outlineLevel="0" collapsed="false">
      <c r="B18" s="10" t="s">
        <v>12</v>
      </c>
      <c r="C18" s="10" t="s">
        <v>15</v>
      </c>
      <c r="D18" s="8" t="s">
        <v>25</v>
      </c>
    </row>
    <row r="21" customFormat="false" ht="19.5" hidden="false" customHeight="true" outlineLevel="0" collapsed="false">
      <c r="B21" s="11" t="s">
        <v>26</v>
      </c>
      <c r="C21" s="11"/>
      <c r="D21" s="11"/>
    </row>
    <row r="22" customFormat="false" ht="19.5" hidden="false" customHeight="true" outlineLevel="0" collapsed="false">
      <c r="B22" s="12" t="s">
        <v>27</v>
      </c>
      <c r="C22" s="12"/>
      <c r="D22" s="12"/>
    </row>
  </sheetData>
  <mergeCells count="6">
    <mergeCell ref="B2:D2"/>
    <mergeCell ref="B3:D3"/>
    <mergeCell ref="B5:D5"/>
    <mergeCell ref="B13:D13"/>
    <mergeCell ref="B21:D21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20"/>
  </cols>
  <sheetData>
    <row r="1" customFormat="false" ht="24" hidden="false" customHeight="true" outlineLevel="0" collapsed="false">
      <c r="A1" s="13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.75" hidden="false" customHeight="true" outlineLevel="0" collapsed="false">
      <c r="A2" s="14" t="s">
        <v>29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7.75" hidden="false" customHeight="true" outlineLevel="0" collapsed="false">
      <c r="A3" s="15" t="s">
        <v>30</v>
      </c>
      <c r="B3" s="15" t="s">
        <v>31</v>
      </c>
      <c r="C3" s="15" t="s">
        <v>32</v>
      </c>
      <c r="D3" s="15" t="s">
        <v>33</v>
      </c>
      <c r="E3" s="15" t="s">
        <v>34</v>
      </c>
      <c r="F3" s="15" t="s">
        <v>35</v>
      </c>
      <c r="G3" s="15" t="s">
        <v>36</v>
      </c>
      <c r="H3" s="15" t="s">
        <v>37</v>
      </c>
      <c r="I3" s="15" t="s">
        <v>38</v>
      </c>
    </row>
    <row r="4" customFormat="false" ht="19.5" hidden="false" customHeight="true" outlineLevel="0" collapsed="false">
      <c r="A4" s="16" t="s">
        <v>39</v>
      </c>
      <c r="B4" s="17" t="s">
        <v>40</v>
      </c>
      <c r="C4" s="17" t="s">
        <v>41</v>
      </c>
      <c r="D4" s="18" t="s">
        <v>42</v>
      </c>
      <c r="E4" s="19" t="n">
        <v>1500</v>
      </c>
      <c r="F4" s="20" t="n">
        <v>8</v>
      </c>
      <c r="G4" s="21" t="s">
        <v>43</v>
      </c>
      <c r="H4" s="22" t="s">
        <v>44</v>
      </c>
      <c r="I4" s="17" t="s">
        <v>45</v>
      </c>
    </row>
    <row r="5" customFormat="false" ht="19.5" hidden="false" customHeight="true" outlineLevel="0" collapsed="false">
      <c r="A5" s="23" t="s">
        <v>46</v>
      </c>
      <c r="B5" s="24" t="s">
        <v>47</v>
      </c>
      <c r="C5" s="24" t="s">
        <v>48</v>
      </c>
      <c r="D5" s="25" t="s">
        <v>49</v>
      </c>
      <c r="E5" s="26" t="n">
        <v>1100</v>
      </c>
      <c r="F5" s="27" t="n">
        <v>4</v>
      </c>
      <c r="G5" s="28" t="s">
        <v>50</v>
      </c>
      <c r="H5" s="29" t="s">
        <v>51</v>
      </c>
      <c r="I5" s="28"/>
    </row>
    <row r="6" customFormat="false" ht="19.5" hidden="false" customHeight="true" outlineLevel="0" collapsed="false">
      <c r="A6" s="16" t="s">
        <v>52</v>
      </c>
      <c r="B6" s="17" t="s">
        <v>53</v>
      </c>
      <c r="C6" s="17" t="s">
        <v>54</v>
      </c>
      <c r="D6" s="18" t="s">
        <v>55</v>
      </c>
      <c r="E6" s="19" t="n">
        <v>1050</v>
      </c>
      <c r="F6" s="20" t="n">
        <v>3</v>
      </c>
      <c r="G6" s="21" t="s">
        <v>56</v>
      </c>
      <c r="H6" s="22" t="s">
        <v>57</v>
      </c>
      <c r="I6" s="17" t="s">
        <v>58</v>
      </c>
    </row>
    <row r="7" customFormat="false" ht="19.5" hidden="false" customHeight="true" outlineLevel="0" collapsed="false">
      <c r="A7" s="30"/>
      <c r="B7" s="30"/>
      <c r="C7" s="30"/>
      <c r="D7" s="30"/>
      <c r="E7" s="31"/>
      <c r="F7" s="32"/>
      <c r="G7" s="30"/>
      <c r="H7" s="33"/>
      <c r="I7" s="30"/>
    </row>
    <row r="8" customFormat="false" ht="19.5" hidden="false" customHeight="true" outlineLevel="0" collapsed="false">
      <c r="A8" s="34"/>
      <c r="B8" s="34"/>
      <c r="C8" s="34"/>
      <c r="D8" s="34"/>
      <c r="E8" s="35"/>
      <c r="F8" s="36"/>
      <c r="G8" s="34"/>
      <c r="H8" s="37"/>
      <c r="I8" s="34"/>
    </row>
    <row r="9" customFormat="false" ht="19.5" hidden="false" customHeight="true" outlineLevel="0" collapsed="false">
      <c r="A9" s="30"/>
      <c r="B9" s="30"/>
      <c r="C9" s="30"/>
      <c r="D9" s="30"/>
      <c r="E9" s="31"/>
      <c r="F9" s="32"/>
      <c r="G9" s="30"/>
      <c r="H9" s="33"/>
      <c r="I9" s="30"/>
    </row>
    <row r="10" customFormat="false" ht="19.5" hidden="false" customHeight="true" outlineLevel="0" collapsed="false">
      <c r="A10" s="34"/>
      <c r="B10" s="34"/>
      <c r="C10" s="34"/>
      <c r="D10" s="34"/>
      <c r="E10" s="35"/>
      <c r="F10" s="36"/>
      <c r="G10" s="34"/>
      <c r="H10" s="37"/>
      <c r="I10" s="34"/>
    </row>
    <row r="11" customFormat="false" ht="19.5" hidden="false" customHeight="true" outlineLevel="0" collapsed="false">
      <c r="A11" s="30"/>
      <c r="B11" s="30"/>
      <c r="C11" s="30"/>
      <c r="D11" s="30"/>
      <c r="E11" s="31"/>
      <c r="F11" s="32"/>
      <c r="G11" s="30"/>
      <c r="H11" s="33"/>
      <c r="I11" s="30"/>
    </row>
    <row r="12" customFormat="false" ht="19.5" hidden="false" customHeight="true" outlineLevel="0" collapsed="false">
      <c r="A12" s="34"/>
      <c r="B12" s="34"/>
      <c r="C12" s="34"/>
      <c r="D12" s="34"/>
      <c r="E12" s="35"/>
      <c r="F12" s="36"/>
      <c r="G12" s="34"/>
      <c r="H12" s="37"/>
      <c r="I12" s="34"/>
    </row>
    <row r="13" customFormat="false" ht="19.5" hidden="false" customHeight="true" outlineLevel="0" collapsed="false">
      <c r="A13" s="30"/>
      <c r="B13" s="30"/>
      <c r="C13" s="30"/>
      <c r="D13" s="30"/>
      <c r="E13" s="31"/>
      <c r="F13" s="32"/>
      <c r="G13" s="30"/>
      <c r="H13" s="33"/>
      <c r="I13" s="30"/>
    </row>
    <row r="14" customFormat="false" ht="19.5" hidden="false" customHeight="true" outlineLevel="0" collapsed="false">
      <c r="A14" s="34"/>
      <c r="B14" s="34"/>
      <c r="C14" s="34"/>
      <c r="D14" s="34"/>
      <c r="E14" s="35"/>
      <c r="F14" s="36"/>
      <c r="G14" s="34"/>
      <c r="H14" s="37"/>
      <c r="I14" s="34"/>
    </row>
    <row r="15" customFormat="false" ht="19.5" hidden="false" customHeight="true" outlineLevel="0" collapsed="false">
      <c r="A15" s="30"/>
      <c r="B15" s="30"/>
      <c r="C15" s="30"/>
      <c r="D15" s="30"/>
      <c r="E15" s="31"/>
      <c r="F15" s="32"/>
      <c r="G15" s="30"/>
      <c r="H15" s="33"/>
      <c r="I15" s="30"/>
    </row>
    <row r="16" customFormat="false" ht="19.5" hidden="false" customHeight="true" outlineLevel="0" collapsed="false">
      <c r="A16" s="34"/>
      <c r="B16" s="34"/>
      <c r="C16" s="34"/>
      <c r="D16" s="34"/>
      <c r="E16" s="35"/>
      <c r="F16" s="36"/>
      <c r="G16" s="34"/>
      <c r="H16" s="37"/>
      <c r="I16" s="34"/>
    </row>
    <row r="17" customFormat="false" ht="19.5" hidden="false" customHeight="true" outlineLevel="0" collapsed="false">
      <c r="A17" s="30"/>
      <c r="B17" s="30"/>
      <c r="C17" s="30"/>
      <c r="D17" s="30"/>
      <c r="E17" s="31"/>
      <c r="F17" s="32"/>
      <c r="G17" s="30"/>
      <c r="H17" s="33"/>
      <c r="I17" s="30"/>
    </row>
    <row r="18" customFormat="false" ht="19.5" hidden="false" customHeight="true" outlineLevel="0" collapsed="false">
      <c r="A18" s="34"/>
      <c r="B18" s="34"/>
      <c r="C18" s="34"/>
      <c r="D18" s="34"/>
      <c r="E18" s="35"/>
      <c r="F18" s="36"/>
      <c r="G18" s="34"/>
      <c r="H18" s="37"/>
      <c r="I18" s="34"/>
    </row>
    <row r="19" customFormat="false" ht="19.5" hidden="false" customHeight="true" outlineLevel="0" collapsed="false">
      <c r="A19" s="30"/>
      <c r="B19" s="30"/>
      <c r="C19" s="30"/>
      <c r="D19" s="30"/>
      <c r="E19" s="31"/>
      <c r="F19" s="32"/>
      <c r="G19" s="30"/>
      <c r="H19" s="33"/>
      <c r="I19" s="30"/>
    </row>
    <row r="20" customFormat="false" ht="19.5" hidden="false" customHeight="true" outlineLevel="0" collapsed="false">
      <c r="A20" s="34"/>
      <c r="B20" s="34"/>
      <c r="C20" s="34"/>
      <c r="D20" s="34"/>
      <c r="E20" s="35"/>
      <c r="F20" s="36"/>
      <c r="G20" s="34"/>
      <c r="H20" s="37"/>
      <c r="I20" s="34"/>
    </row>
    <row r="21" customFormat="false" ht="19.5" hidden="false" customHeight="true" outlineLevel="0" collapsed="false">
      <c r="A21" s="30"/>
      <c r="B21" s="30"/>
      <c r="C21" s="30"/>
      <c r="D21" s="30"/>
      <c r="E21" s="31"/>
      <c r="F21" s="32"/>
      <c r="G21" s="30"/>
      <c r="H21" s="33"/>
      <c r="I21" s="30"/>
    </row>
    <row r="22" customFormat="false" ht="19.5" hidden="false" customHeight="true" outlineLevel="0" collapsed="false">
      <c r="A22" s="34"/>
      <c r="B22" s="34"/>
      <c r="C22" s="34"/>
      <c r="D22" s="34"/>
      <c r="E22" s="35"/>
      <c r="F22" s="36"/>
      <c r="G22" s="34"/>
      <c r="H22" s="37"/>
      <c r="I22" s="34"/>
    </row>
    <row r="23" customFormat="false" ht="19.5" hidden="false" customHeight="true" outlineLevel="0" collapsed="false">
      <c r="A23" s="30"/>
      <c r="B23" s="30"/>
      <c r="C23" s="30"/>
      <c r="D23" s="30"/>
      <c r="E23" s="31"/>
      <c r="F23" s="32"/>
      <c r="G23" s="30"/>
      <c r="H23" s="33"/>
      <c r="I23" s="30"/>
    </row>
    <row r="24" customFormat="false" ht="19.5" hidden="false" customHeight="true" outlineLevel="0" collapsed="false">
      <c r="A24" s="34"/>
      <c r="B24" s="34"/>
      <c r="C24" s="34"/>
      <c r="D24" s="34"/>
      <c r="E24" s="35"/>
      <c r="F24" s="36"/>
      <c r="G24" s="34"/>
      <c r="H24" s="37"/>
      <c r="I24" s="34"/>
    </row>
    <row r="25" customFormat="false" ht="19.5" hidden="false" customHeight="true" outlineLevel="0" collapsed="false">
      <c r="A25" s="30"/>
      <c r="B25" s="30"/>
      <c r="C25" s="30"/>
      <c r="D25" s="30"/>
      <c r="E25" s="31"/>
      <c r="F25" s="32"/>
      <c r="G25" s="30"/>
      <c r="H25" s="33"/>
      <c r="I25" s="30"/>
    </row>
    <row r="26" customFormat="false" ht="19.5" hidden="false" customHeight="true" outlineLevel="0" collapsed="false">
      <c r="A26" s="34"/>
      <c r="B26" s="34"/>
      <c r="C26" s="34"/>
      <c r="D26" s="34"/>
      <c r="E26" s="35"/>
      <c r="F26" s="36"/>
      <c r="G26" s="34"/>
      <c r="H26" s="37"/>
      <c r="I26" s="34"/>
    </row>
    <row r="27" customFormat="false" ht="19.5" hidden="false" customHeight="true" outlineLevel="0" collapsed="false">
      <c r="A27" s="30"/>
      <c r="B27" s="30"/>
      <c r="C27" s="30"/>
      <c r="D27" s="30"/>
      <c r="E27" s="31"/>
      <c r="F27" s="32"/>
      <c r="G27" s="30"/>
      <c r="H27" s="33"/>
      <c r="I27" s="30"/>
    </row>
    <row r="28" customFormat="false" ht="19.5" hidden="false" customHeight="true" outlineLevel="0" collapsed="false">
      <c r="A28" s="34"/>
      <c r="B28" s="34"/>
      <c r="C28" s="34"/>
      <c r="D28" s="34"/>
      <c r="E28" s="35"/>
      <c r="F28" s="36"/>
      <c r="G28" s="34"/>
      <c r="H28" s="37"/>
      <c r="I28" s="34"/>
    </row>
    <row r="29" customFormat="false" ht="19.5" hidden="false" customHeight="true" outlineLevel="0" collapsed="false">
      <c r="A29" s="30"/>
      <c r="B29" s="30"/>
      <c r="C29" s="30"/>
      <c r="D29" s="30"/>
      <c r="E29" s="31"/>
      <c r="F29" s="32"/>
      <c r="G29" s="30"/>
      <c r="H29" s="33"/>
      <c r="I29" s="30"/>
    </row>
    <row r="30" customFormat="false" ht="19.5" hidden="false" customHeight="true" outlineLevel="0" collapsed="false">
      <c r="A30" s="34"/>
      <c r="B30" s="34"/>
      <c r="C30" s="34"/>
      <c r="D30" s="34"/>
      <c r="E30" s="35"/>
      <c r="F30" s="36"/>
      <c r="G30" s="34"/>
      <c r="H30" s="37"/>
      <c r="I30" s="34"/>
    </row>
    <row r="31" customFormat="false" ht="19.5" hidden="false" customHeight="true" outlineLevel="0" collapsed="false">
      <c r="A31" s="30"/>
      <c r="B31" s="30"/>
      <c r="C31" s="30"/>
      <c r="D31" s="30"/>
      <c r="E31" s="31"/>
      <c r="F31" s="32"/>
      <c r="G31" s="30"/>
      <c r="H31" s="33"/>
      <c r="I31" s="30"/>
    </row>
    <row r="32" customFormat="false" ht="19.5" hidden="false" customHeight="true" outlineLevel="0" collapsed="false">
      <c r="A32" s="34"/>
      <c r="B32" s="34"/>
      <c r="C32" s="34"/>
      <c r="D32" s="34"/>
      <c r="E32" s="35"/>
      <c r="F32" s="36"/>
      <c r="G32" s="34"/>
      <c r="H32" s="37"/>
      <c r="I32" s="34"/>
    </row>
    <row r="33" customFormat="false" ht="19.5" hidden="false" customHeight="true" outlineLevel="0" collapsed="false">
      <c r="A33" s="30"/>
      <c r="B33" s="30"/>
      <c r="C33" s="30"/>
      <c r="D33" s="30"/>
      <c r="E33" s="31"/>
      <c r="F33" s="32"/>
      <c r="G33" s="30"/>
      <c r="H33" s="33"/>
      <c r="I33" s="30"/>
    </row>
    <row r="34" customFormat="false" ht="19.5" hidden="false" customHeight="true" outlineLevel="0" collapsed="false">
      <c r="A34" s="34"/>
      <c r="B34" s="34"/>
      <c r="C34" s="34"/>
      <c r="D34" s="34"/>
      <c r="E34" s="35"/>
      <c r="F34" s="36"/>
      <c r="G34" s="34"/>
      <c r="H34" s="37"/>
      <c r="I34" s="34"/>
    </row>
    <row r="35" customFormat="false" ht="19.5" hidden="false" customHeight="true" outlineLevel="0" collapsed="false">
      <c r="A35" s="30"/>
      <c r="B35" s="30"/>
      <c r="C35" s="30"/>
      <c r="D35" s="30"/>
      <c r="E35" s="31"/>
      <c r="F35" s="32"/>
      <c r="G35" s="30"/>
      <c r="H35" s="33"/>
      <c r="I35" s="30"/>
    </row>
    <row r="36" customFormat="false" ht="19.5" hidden="false" customHeight="true" outlineLevel="0" collapsed="false">
      <c r="A36" s="34"/>
      <c r="B36" s="34"/>
      <c r="C36" s="34"/>
      <c r="D36" s="34"/>
      <c r="E36" s="35"/>
      <c r="F36" s="36"/>
      <c r="G36" s="34"/>
      <c r="H36" s="37"/>
      <c r="I36" s="34"/>
    </row>
    <row r="37" customFormat="false" ht="19.5" hidden="false" customHeight="true" outlineLevel="0" collapsed="false">
      <c r="A37" s="30"/>
      <c r="B37" s="30"/>
      <c r="C37" s="30"/>
      <c r="D37" s="30"/>
      <c r="E37" s="31"/>
      <c r="F37" s="32"/>
      <c r="G37" s="30"/>
      <c r="H37" s="33"/>
      <c r="I37" s="30"/>
    </row>
    <row r="38" customFormat="false" ht="19.5" hidden="false" customHeight="true" outlineLevel="0" collapsed="false">
      <c r="A38" s="34"/>
      <c r="B38" s="34"/>
      <c r="C38" s="34"/>
      <c r="D38" s="34"/>
      <c r="E38" s="35"/>
      <c r="F38" s="36"/>
      <c r="G38" s="34"/>
      <c r="H38" s="37"/>
      <c r="I38" s="34"/>
    </row>
    <row r="39" customFormat="false" ht="19.5" hidden="false" customHeight="true" outlineLevel="0" collapsed="false">
      <c r="A39" s="30"/>
      <c r="B39" s="30"/>
      <c r="C39" s="30"/>
      <c r="D39" s="30"/>
      <c r="E39" s="31"/>
      <c r="F39" s="32"/>
      <c r="G39" s="30"/>
      <c r="H39" s="33"/>
      <c r="I39" s="30"/>
    </row>
    <row r="40" customFormat="false" ht="19.5" hidden="false" customHeight="true" outlineLevel="0" collapsed="false">
      <c r="A40" s="34"/>
      <c r="B40" s="34"/>
      <c r="C40" s="34"/>
      <c r="D40" s="34"/>
      <c r="E40" s="35"/>
      <c r="F40" s="36"/>
      <c r="G40" s="34"/>
      <c r="H40" s="37"/>
      <c r="I40" s="34"/>
    </row>
    <row r="41" customFormat="false" ht="19.5" hidden="false" customHeight="true" outlineLevel="0" collapsed="false">
      <c r="A41" s="30"/>
      <c r="B41" s="30"/>
      <c r="C41" s="30"/>
      <c r="D41" s="30"/>
      <c r="E41" s="31"/>
      <c r="F41" s="32"/>
      <c r="G41" s="30"/>
      <c r="H41" s="33"/>
      <c r="I41" s="30"/>
    </row>
    <row r="42" customFormat="false" ht="19.5" hidden="false" customHeight="true" outlineLevel="0" collapsed="false">
      <c r="A42" s="34"/>
      <c r="B42" s="34"/>
      <c r="C42" s="34"/>
      <c r="D42" s="34"/>
      <c r="E42" s="35"/>
      <c r="F42" s="36"/>
      <c r="G42" s="34"/>
      <c r="H42" s="37"/>
      <c r="I42" s="34"/>
    </row>
    <row r="43" customFormat="false" ht="19.5" hidden="false" customHeight="true" outlineLevel="0" collapsed="false">
      <c r="A43" s="30"/>
      <c r="B43" s="30"/>
      <c r="C43" s="30"/>
      <c r="D43" s="30"/>
      <c r="E43" s="31"/>
      <c r="F43" s="32"/>
      <c r="G43" s="30"/>
      <c r="H43" s="33"/>
      <c r="I43" s="30"/>
    </row>
    <row r="44" customFormat="false" ht="19.5" hidden="false" customHeight="true" outlineLevel="0" collapsed="false">
      <c r="A44" s="34"/>
      <c r="B44" s="34"/>
      <c r="C44" s="34"/>
      <c r="D44" s="34"/>
      <c r="E44" s="35"/>
      <c r="F44" s="36"/>
      <c r="G44" s="34"/>
      <c r="H44" s="37"/>
      <c r="I44" s="34"/>
    </row>
    <row r="45" customFormat="false" ht="19.5" hidden="false" customHeight="true" outlineLevel="0" collapsed="false">
      <c r="A45" s="30"/>
      <c r="B45" s="30"/>
      <c r="C45" s="30"/>
      <c r="D45" s="30"/>
      <c r="E45" s="31"/>
      <c r="F45" s="32"/>
      <c r="G45" s="30"/>
      <c r="H45" s="33"/>
      <c r="I45" s="30"/>
    </row>
    <row r="46" customFormat="false" ht="19.5" hidden="false" customHeight="true" outlineLevel="0" collapsed="false">
      <c r="A46" s="34"/>
      <c r="B46" s="34"/>
      <c r="C46" s="34"/>
      <c r="D46" s="34"/>
      <c r="E46" s="35"/>
      <c r="F46" s="36"/>
      <c r="G46" s="34"/>
      <c r="H46" s="37"/>
      <c r="I46" s="34"/>
    </row>
    <row r="47" customFormat="false" ht="19.5" hidden="false" customHeight="true" outlineLevel="0" collapsed="false">
      <c r="A47" s="30"/>
      <c r="B47" s="30"/>
      <c r="C47" s="30"/>
      <c r="D47" s="30"/>
      <c r="E47" s="31"/>
      <c r="F47" s="32"/>
      <c r="G47" s="30"/>
      <c r="H47" s="33"/>
      <c r="I47" s="30"/>
    </row>
    <row r="48" customFormat="false" ht="19.5" hidden="false" customHeight="true" outlineLevel="0" collapsed="false">
      <c r="A48" s="34"/>
      <c r="B48" s="34"/>
      <c r="C48" s="34"/>
      <c r="D48" s="34"/>
      <c r="E48" s="35"/>
      <c r="F48" s="36"/>
      <c r="G48" s="34"/>
      <c r="H48" s="37"/>
      <c r="I48" s="34"/>
    </row>
    <row r="49" customFormat="false" ht="19.5" hidden="false" customHeight="true" outlineLevel="0" collapsed="false">
      <c r="A49" s="30"/>
      <c r="B49" s="30"/>
      <c r="C49" s="30"/>
      <c r="D49" s="30"/>
      <c r="E49" s="31"/>
      <c r="F49" s="32"/>
      <c r="G49" s="30"/>
      <c r="H49" s="33"/>
      <c r="I49" s="30"/>
    </row>
    <row r="50" customFormat="false" ht="19.5" hidden="false" customHeight="true" outlineLevel="0" collapsed="false">
      <c r="A50" s="34"/>
      <c r="B50" s="34"/>
      <c r="C50" s="34"/>
      <c r="D50" s="34"/>
      <c r="E50" s="35"/>
      <c r="F50" s="36"/>
      <c r="G50" s="34"/>
      <c r="H50" s="37"/>
      <c r="I50" s="34"/>
    </row>
    <row r="51" customFormat="false" ht="19.5" hidden="false" customHeight="true" outlineLevel="0" collapsed="false">
      <c r="A51" s="30"/>
      <c r="B51" s="30"/>
      <c r="C51" s="30"/>
      <c r="D51" s="30"/>
      <c r="E51" s="31"/>
      <c r="F51" s="32"/>
      <c r="G51" s="30"/>
      <c r="H51" s="33"/>
      <c r="I51" s="30"/>
    </row>
    <row r="52" customFormat="false" ht="19.5" hidden="false" customHeight="true" outlineLevel="0" collapsed="false">
      <c r="A52" s="34"/>
      <c r="B52" s="34"/>
      <c r="C52" s="34"/>
      <c r="D52" s="34"/>
      <c r="E52" s="35"/>
      <c r="F52" s="36"/>
      <c r="G52" s="34"/>
      <c r="H52" s="37"/>
      <c r="I52" s="34"/>
    </row>
    <row r="53" customFormat="false" ht="19.5" hidden="false" customHeight="true" outlineLevel="0" collapsed="false">
      <c r="A53" s="30"/>
      <c r="B53" s="30"/>
      <c r="C53" s="30"/>
      <c r="D53" s="30"/>
      <c r="E53" s="31"/>
      <c r="F53" s="32"/>
      <c r="G53" s="30"/>
      <c r="H53" s="33"/>
      <c r="I53" s="30"/>
    </row>
    <row r="54" customFormat="false" ht="19.5" hidden="false" customHeight="true" outlineLevel="0" collapsed="false">
      <c r="A54" s="34"/>
      <c r="B54" s="34"/>
      <c r="C54" s="34"/>
      <c r="D54" s="34"/>
      <c r="E54" s="35"/>
      <c r="F54" s="36"/>
      <c r="G54" s="34"/>
      <c r="H54" s="37"/>
      <c r="I54" s="34"/>
    </row>
    <row r="55" customFormat="false" ht="19.5" hidden="false" customHeight="true" outlineLevel="0" collapsed="false">
      <c r="A55" s="30"/>
      <c r="B55" s="30"/>
      <c r="C55" s="30"/>
      <c r="D55" s="30"/>
      <c r="E55" s="31"/>
      <c r="F55" s="32"/>
      <c r="G55" s="30"/>
      <c r="H55" s="33"/>
      <c r="I55" s="30"/>
    </row>
    <row r="56" customFormat="false" ht="19.5" hidden="false" customHeight="true" outlineLevel="0" collapsed="false">
      <c r="A56" s="34"/>
      <c r="B56" s="34"/>
      <c r="C56" s="34"/>
      <c r="D56" s="34"/>
      <c r="E56" s="35"/>
      <c r="F56" s="36"/>
      <c r="G56" s="34"/>
      <c r="H56" s="37"/>
      <c r="I56" s="34"/>
    </row>
  </sheetData>
  <mergeCells count="2">
    <mergeCell ref="A1:M1"/>
    <mergeCell ref="A2:M2"/>
  </mergeCells>
  <dataValidations count="1">
    <dataValidation allowBlank="true" errorStyle="stop" operator="between" showDropDown="false" showErrorMessage="false" showInputMessage="false" sqref="D7:D56" type="list">
      <formula1>"正社員,パート,アルバイト,契約社員"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A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3" min="3" style="0" width="4.5"/>
    <col collapsed="false" customWidth="true" hidden="false" outlineLevel="0" max="34" min="34" style="0" width="10"/>
  </cols>
  <sheetData>
    <row r="1" customFormat="false" ht="24" hidden="false" customHeight="true" outlineLevel="0" collapsed="false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.75" hidden="false" customHeight="true" outlineLevel="0" collapsed="false">
      <c r="A2" s="38" t="s">
        <v>60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customFormat="false" ht="27.75" hidden="false" customHeight="true" outlineLevel="0" collapsed="false">
      <c r="A3" s="39" t="s">
        <v>61</v>
      </c>
      <c r="B3" s="40" t="s">
        <v>62</v>
      </c>
      <c r="C3" s="41" t="s">
        <v>63</v>
      </c>
      <c r="D3" s="41"/>
      <c r="F3" s="42" t="s">
        <v>64</v>
      </c>
      <c r="G3" s="42"/>
      <c r="H3" s="42"/>
      <c r="I3" s="42"/>
      <c r="J3" s="42"/>
    </row>
    <row r="4" customFormat="false" ht="19.5" hidden="false" customHeight="true" outlineLevel="0" collapsed="false">
      <c r="A4" s="43" t="s">
        <v>65</v>
      </c>
      <c r="B4" s="43" t="s">
        <v>66</v>
      </c>
      <c r="C4" s="44" t="str">
        <f aca="false">IFERROR(IF(DAY(DATE(YEAR($B$3),MONTH($B$3),1))=1,DATE(YEAR($B$3),MONTH($B$3),1),""),"")</f>
        <v/>
      </c>
      <c r="D4" s="44" t="str">
        <f aca="false">IFERROR(IF(DAY(DATE(YEAR($B$3),MONTH($B$3),2))=2,DATE(YEAR($B$3),MONTH($B$3),2),""),"")</f>
        <v/>
      </c>
      <c r="E4" s="44" t="str">
        <f aca="false">IFERROR(IF(DAY(DATE(YEAR($B$3),MONTH($B$3),3))=3,DATE(YEAR($B$3),MONTH($B$3),3),""),"")</f>
        <v/>
      </c>
      <c r="F4" s="44" t="str">
        <f aca="false">IFERROR(IF(DAY(DATE(YEAR($B$3),MONTH($B$3),4))=4,DATE(YEAR($B$3),MONTH($B$3),4),""),"")</f>
        <v/>
      </c>
      <c r="G4" s="44" t="str">
        <f aca="false">IFERROR(IF(DAY(DATE(YEAR($B$3),MONTH($B$3),5))=5,DATE(YEAR($B$3),MONTH($B$3),5),""),"")</f>
        <v/>
      </c>
      <c r="H4" s="44" t="str">
        <f aca="false">IFERROR(IF(DAY(DATE(YEAR($B$3),MONTH($B$3),6))=6,DATE(YEAR($B$3),MONTH($B$3),6),""),"")</f>
        <v/>
      </c>
      <c r="I4" s="44" t="str">
        <f aca="false">IFERROR(IF(DAY(DATE(YEAR($B$3),MONTH($B$3),7))=7,DATE(YEAR($B$3),MONTH($B$3),7),""),"")</f>
        <v/>
      </c>
      <c r="J4" s="44" t="str">
        <f aca="false">IFERROR(IF(DAY(DATE(YEAR($B$3),MONTH($B$3),8))=8,DATE(YEAR($B$3),MONTH($B$3),8),""),"")</f>
        <v/>
      </c>
      <c r="K4" s="44" t="str">
        <f aca="false">IFERROR(IF(DAY(DATE(YEAR($B$3),MONTH($B$3),9))=9,DATE(YEAR($B$3),MONTH($B$3),9),""),"")</f>
        <v/>
      </c>
      <c r="L4" s="44" t="str">
        <f aca="false">IFERROR(IF(DAY(DATE(YEAR($B$3),MONTH($B$3),10))=10,DATE(YEAR($B$3),MONTH($B$3),10),""),"")</f>
        <v/>
      </c>
      <c r="M4" s="44" t="str">
        <f aca="false">IFERROR(IF(DAY(DATE(YEAR($B$3),MONTH($B$3),11))=11,DATE(YEAR($B$3),MONTH($B$3),11),""),"")</f>
        <v/>
      </c>
      <c r="N4" s="44" t="str">
        <f aca="false">IFERROR(IF(DAY(DATE(YEAR($B$3),MONTH($B$3),12))=12,DATE(YEAR($B$3),MONTH($B$3),12),""),"")</f>
        <v/>
      </c>
      <c r="O4" s="44" t="str">
        <f aca="false">IFERROR(IF(DAY(DATE(YEAR($B$3),MONTH($B$3),13))=13,DATE(YEAR($B$3),MONTH($B$3),13),""),"")</f>
        <v/>
      </c>
      <c r="P4" s="44" t="str">
        <f aca="false">IFERROR(IF(DAY(DATE(YEAR($B$3),MONTH($B$3),14))=14,DATE(YEAR($B$3),MONTH($B$3),14),""),"")</f>
        <v/>
      </c>
      <c r="Q4" s="44" t="str">
        <f aca="false">IFERROR(IF(DAY(DATE(YEAR($B$3),MONTH($B$3),15))=15,DATE(YEAR($B$3),MONTH($B$3),15),""),"")</f>
        <v/>
      </c>
      <c r="R4" s="44" t="str">
        <f aca="false">IFERROR(IF(DAY(DATE(YEAR($B$3),MONTH($B$3),16))=16,DATE(YEAR($B$3),MONTH($B$3),16),""),"")</f>
        <v/>
      </c>
      <c r="S4" s="44" t="str">
        <f aca="false">IFERROR(IF(DAY(DATE(YEAR($B$3),MONTH($B$3),17))=17,DATE(YEAR($B$3),MONTH($B$3),17),""),"")</f>
        <v/>
      </c>
      <c r="T4" s="44" t="str">
        <f aca="false">IFERROR(IF(DAY(DATE(YEAR($B$3),MONTH($B$3),18))=18,DATE(YEAR($B$3),MONTH($B$3),18),""),"")</f>
        <v/>
      </c>
      <c r="U4" s="44" t="str">
        <f aca="false">IFERROR(IF(DAY(DATE(YEAR($B$3),MONTH($B$3),19))=19,DATE(YEAR($B$3),MONTH($B$3),19),""),"")</f>
        <v/>
      </c>
      <c r="V4" s="44" t="str">
        <f aca="false">IFERROR(IF(DAY(DATE(YEAR($B$3),MONTH($B$3),20))=20,DATE(YEAR($B$3),MONTH($B$3),20),""),"")</f>
        <v/>
      </c>
      <c r="W4" s="44" t="str">
        <f aca="false">IFERROR(IF(DAY(DATE(YEAR($B$3),MONTH($B$3),21))=21,DATE(YEAR($B$3),MONTH($B$3),21),""),"")</f>
        <v/>
      </c>
      <c r="X4" s="44" t="str">
        <f aca="false">IFERROR(IF(DAY(DATE(YEAR($B$3),MONTH($B$3),22))=22,DATE(YEAR($B$3),MONTH($B$3),22),""),"")</f>
        <v/>
      </c>
      <c r="Y4" s="44" t="str">
        <f aca="false">IFERROR(IF(DAY(DATE(YEAR($B$3),MONTH($B$3),23))=23,DATE(YEAR($B$3),MONTH($B$3),23),""),"")</f>
        <v/>
      </c>
      <c r="Z4" s="44" t="str">
        <f aca="false">IFERROR(IF(DAY(DATE(YEAR($B$3),MONTH($B$3),24))=24,DATE(YEAR($B$3),MONTH($B$3),24),""),"")</f>
        <v/>
      </c>
      <c r="AA4" s="44" t="str">
        <f aca="false">IFERROR(IF(DAY(DATE(YEAR($B$3),MONTH($B$3),25))=25,DATE(YEAR($B$3),MONTH($B$3),25),""),"")</f>
        <v/>
      </c>
      <c r="AB4" s="44" t="str">
        <f aca="false">IFERROR(IF(DAY(DATE(YEAR($B$3),MONTH($B$3),26))=26,DATE(YEAR($B$3),MONTH($B$3),26),""),"")</f>
        <v/>
      </c>
      <c r="AC4" s="44" t="str">
        <f aca="false">IFERROR(IF(DAY(DATE(YEAR($B$3),MONTH($B$3),27))=27,DATE(YEAR($B$3),MONTH($B$3),27),""),"")</f>
        <v/>
      </c>
      <c r="AD4" s="44" t="str">
        <f aca="false">IFERROR(IF(DAY(DATE(YEAR($B$3),MONTH($B$3),28))=28,DATE(YEAR($B$3),MONTH($B$3),28),""),"")</f>
        <v/>
      </c>
      <c r="AE4" s="44" t="str">
        <f aca="false">IFERROR(IF(DAY(DATE(YEAR($B$3),MONTH($B$3),29))=29,DATE(YEAR($B$3),MONTH($B$3),29),""),"")</f>
        <v/>
      </c>
      <c r="AF4" s="44" t="str">
        <f aca="false">IFERROR(IF(DAY(DATE(YEAR($B$3),MONTH($B$3),30))=30,DATE(YEAR($B$3),MONTH($B$3),30),""),"")</f>
        <v/>
      </c>
      <c r="AG4" s="44" t="str">
        <f aca="false">IFERROR(IF(DAY(DATE(YEAR($B$3),MONTH($B$3),31))=31,DATE(YEAR($B$3),MONTH($B$3),31),""),"")</f>
        <v/>
      </c>
      <c r="AH4" s="43" t="s">
        <v>67</v>
      </c>
    </row>
    <row r="5" customFormat="false" ht="18" hidden="false" customHeight="true" outlineLevel="0" collapsed="false">
      <c r="A5" s="45"/>
      <c r="B5" s="45"/>
      <c r="C5" s="46" t="str">
        <f aca="false">IFERROR(IF(C4&lt;&gt;"",TEXT(C4,"aaa"),""),"")</f>
        <v/>
      </c>
      <c r="D5" s="46" t="str">
        <f aca="false">IFERROR(IF(D4&lt;&gt;"",TEXT(D4,"aaa"),""),"")</f>
        <v/>
      </c>
      <c r="E5" s="46" t="str">
        <f aca="false">IFERROR(IF(E4&lt;&gt;"",TEXT(E4,"aaa"),""),"")</f>
        <v/>
      </c>
      <c r="F5" s="46" t="str">
        <f aca="false">IFERROR(IF(F4&lt;&gt;"",TEXT(F4,"aaa"),""),"")</f>
        <v/>
      </c>
      <c r="G5" s="46" t="str">
        <f aca="false">IFERROR(IF(G4&lt;&gt;"",TEXT(G4,"aaa"),""),"")</f>
        <v/>
      </c>
      <c r="H5" s="46" t="str">
        <f aca="false">IFERROR(IF(H4&lt;&gt;"",TEXT(H4,"aaa"),""),"")</f>
        <v/>
      </c>
      <c r="I5" s="46" t="str">
        <f aca="false">IFERROR(IF(I4&lt;&gt;"",TEXT(I4,"aaa"),""),"")</f>
        <v/>
      </c>
      <c r="J5" s="46" t="str">
        <f aca="false">IFERROR(IF(J4&lt;&gt;"",TEXT(J4,"aaa"),""),"")</f>
        <v/>
      </c>
      <c r="K5" s="46" t="str">
        <f aca="false">IFERROR(IF(K4&lt;&gt;"",TEXT(K4,"aaa"),""),"")</f>
        <v/>
      </c>
      <c r="L5" s="46" t="str">
        <f aca="false">IFERROR(IF(L4&lt;&gt;"",TEXT(L4,"aaa"),""),"")</f>
        <v/>
      </c>
      <c r="M5" s="46" t="str">
        <f aca="false">IFERROR(IF(M4&lt;&gt;"",TEXT(M4,"aaa"),""),"")</f>
        <v/>
      </c>
      <c r="N5" s="46" t="str">
        <f aca="false">IFERROR(IF(N4&lt;&gt;"",TEXT(N4,"aaa"),""),"")</f>
        <v/>
      </c>
      <c r="O5" s="46" t="str">
        <f aca="false">IFERROR(IF(O4&lt;&gt;"",TEXT(O4,"aaa"),""),"")</f>
        <v/>
      </c>
      <c r="P5" s="46" t="str">
        <f aca="false">IFERROR(IF(P4&lt;&gt;"",TEXT(P4,"aaa"),""),"")</f>
        <v/>
      </c>
      <c r="Q5" s="46" t="str">
        <f aca="false">IFERROR(IF(Q4&lt;&gt;"",TEXT(Q4,"aaa"),""),"")</f>
        <v/>
      </c>
      <c r="R5" s="46" t="str">
        <f aca="false">IFERROR(IF(R4&lt;&gt;"",TEXT(R4,"aaa"),""),"")</f>
        <v/>
      </c>
      <c r="S5" s="46" t="str">
        <f aca="false">IFERROR(IF(S4&lt;&gt;"",TEXT(S4,"aaa"),""),"")</f>
        <v/>
      </c>
      <c r="T5" s="46" t="str">
        <f aca="false">IFERROR(IF(T4&lt;&gt;"",TEXT(T4,"aaa"),""),"")</f>
        <v/>
      </c>
      <c r="U5" s="46" t="str">
        <f aca="false">IFERROR(IF(U4&lt;&gt;"",TEXT(U4,"aaa"),""),"")</f>
        <v/>
      </c>
      <c r="V5" s="46" t="str">
        <f aca="false">IFERROR(IF(V4&lt;&gt;"",TEXT(V4,"aaa"),""),"")</f>
        <v/>
      </c>
      <c r="W5" s="46" t="str">
        <f aca="false">IFERROR(IF(W4&lt;&gt;"",TEXT(W4,"aaa"),""),"")</f>
        <v/>
      </c>
      <c r="X5" s="46" t="str">
        <f aca="false">IFERROR(IF(X4&lt;&gt;"",TEXT(X4,"aaa"),""),"")</f>
        <v/>
      </c>
      <c r="Y5" s="46" t="str">
        <f aca="false">IFERROR(IF(Y4&lt;&gt;"",TEXT(Y4,"aaa"),""),"")</f>
        <v/>
      </c>
      <c r="Z5" s="46" t="str">
        <f aca="false">IFERROR(IF(Z4&lt;&gt;"",TEXT(Z4,"aaa"),""),"")</f>
        <v/>
      </c>
      <c r="AA5" s="46" t="str">
        <f aca="false">IFERROR(IF(AA4&lt;&gt;"",TEXT(AA4,"aaa"),""),"")</f>
        <v/>
      </c>
      <c r="AB5" s="46" t="str">
        <f aca="false">IFERROR(IF(AB4&lt;&gt;"",TEXT(AB4,"aaa"),""),"")</f>
        <v/>
      </c>
      <c r="AC5" s="46" t="str">
        <f aca="false">IFERROR(IF(AC4&lt;&gt;"",TEXT(AC4,"aaa"),""),"")</f>
        <v/>
      </c>
      <c r="AD5" s="46" t="str">
        <f aca="false">IFERROR(IF(AD4&lt;&gt;"",TEXT(AD4,"aaa"),""),"")</f>
        <v/>
      </c>
      <c r="AE5" s="46" t="str">
        <f aca="false">IFERROR(IF(AE4&lt;&gt;"",TEXT(AE4,"aaa"),""),"")</f>
        <v/>
      </c>
      <c r="AF5" s="46" t="str">
        <f aca="false">IFERROR(IF(AF4&lt;&gt;"",TEXT(AF4,"aaa"),""),"")</f>
        <v/>
      </c>
      <c r="AG5" s="46" t="str">
        <f aca="false">IFERROR(IF(AG4&lt;&gt;"",TEXT(AG4,"aaa"),""),"")</f>
        <v/>
      </c>
      <c r="AH5" s="45"/>
    </row>
    <row r="6" customFormat="false" ht="19.5" hidden="false" customHeight="true" outlineLevel="0" collapsed="false">
      <c r="A6" s="47"/>
      <c r="B6" s="48" t="str">
        <f aca="false">IFERROR(VLOOKUP(A6,①従業員マスタ!$A$4:$I$56,2,0),"")</f>
        <v/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50" t="n">
        <f aca="false">COUNTIF(C6:AG6,"○")+COUNTIF(C6:AG6,"半")*0.5</f>
        <v>0</v>
      </c>
    </row>
    <row r="7" customFormat="false" ht="19.5" hidden="false" customHeight="true" outlineLevel="0" collapsed="false">
      <c r="A7" s="51"/>
      <c r="B7" s="52" t="str">
        <f aca="false">IFERROR(VLOOKUP(A7,①従業員マスタ!$A$4:$I$56,2,0),"")</f>
        <v/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4" t="n">
        <f aca="false">COUNTIF(C7:AG7,"○")+COUNTIF(C7:AG7,"半")*0.5</f>
        <v>0</v>
      </c>
    </row>
    <row r="8" customFormat="false" ht="19.5" hidden="false" customHeight="true" outlineLevel="0" collapsed="false">
      <c r="A8" s="47"/>
      <c r="B8" s="48" t="str">
        <f aca="false">IFERROR(VLOOKUP(A8,①従業員マスタ!$A$4:$I$56,2,0),"")</f>
        <v/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50" t="n">
        <f aca="false">COUNTIF(C8:AG8,"○")+COUNTIF(C8:AG8,"半")*0.5</f>
        <v>0</v>
      </c>
    </row>
    <row r="9" customFormat="false" ht="19.5" hidden="false" customHeight="true" outlineLevel="0" collapsed="false">
      <c r="A9" s="51"/>
      <c r="B9" s="52" t="str">
        <f aca="false">IFERROR(VLOOKUP(A9,①従業員マスタ!$A$4:$I$56,2,0),"")</f>
        <v/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4" t="n">
        <f aca="false">COUNTIF(C9:AG9,"○")+COUNTIF(C9:AG9,"半")*0.5</f>
        <v>0</v>
      </c>
    </row>
    <row r="10" customFormat="false" ht="19.5" hidden="false" customHeight="true" outlineLevel="0" collapsed="false">
      <c r="A10" s="47"/>
      <c r="B10" s="48" t="str">
        <f aca="false">IFERROR(VLOOKUP(A10,①従業員マスタ!$A$4:$I$56,2,0),"")</f>
        <v/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 t="n">
        <f aca="false">COUNTIF(C10:AG10,"○")+COUNTIF(C10:AG10,"半")*0.5</f>
        <v>0</v>
      </c>
    </row>
    <row r="11" customFormat="false" ht="19.5" hidden="false" customHeight="true" outlineLevel="0" collapsed="false">
      <c r="A11" s="51"/>
      <c r="B11" s="52" t="str">
        <f aca="false">IFERROR(VLOOKUP(A11,①従業員マスタ!$A$4:$I$56,2,0),"")</f>
        <v/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4" t="n">
        <f aca="false">COUNTIF(C11:AG11,"○")+COUNTIF(C11:AG11,"半")*0.5</f>
        <v>0</v>
      </c>
    </row>
    <row r="12" customFormat="false" ht="19.5" hidden="false" customHeight="true" outlineLevel="0" collapsed="false">
      <c r="A12" s="47"/>
      <c r="B12" s="48" t="str">
        <f aca="false">IFERROR(VLOOKUP(A12,①従業員マスタ!$A$4:$I$56,2,0),"")</f>
        <v/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50" t="n">
        <f aca="false">COUNTIF(C12:AG12,"○")+COUNTIF(C12:AG12,"半")*0.5</f>
        <v>0</v>
      </c>
    </row>
    <row r="13" customFormat="false" ht="19.5" hidden="false" customHeight="true" outlineLevel="0" collapsed="false">
      <c r="A13" s="51"/>
      <c r="B13" s="52" t="str">
        <f aca="false">IFERROR(VLOOKUP(A13,①従業員マスタ!$A$4:$I$56,2,0),"")</f>
        <v/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4" t="n">
        <f aca="false">COUNTIF(C13:AG13,"○")+COUNTIF(C13:AG13,"半")*0.5</f>
        <v>0</v>
      </c>
    </row>
    <row r="14" customFormat="false" ht="19.5" hidden="false" customHeight="true" outlineLevel="0" collapsed="false">
      <c r="A14" s="47"/>
      <c r="B14" s="48" t="str">
        <f aca="false">IFERROR(VLOOKUP(A14,①従業員マスタ!$A$4:$I$56,2,0),"")</f>
        <v/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50" t="n">
        <f aca="false">COUNTIF(C14:AG14,"○")+COUNTIF(C14:AG14,"半")*0.5</f>
        <v>0</v>
      </c>
    </row>
    <row r="15" customFormat="false" ht="19.5" hidden="false" customHeight="true" outlineLevel="0" collapsed="false">
      <c r="A15" s="51"/>
      <c r="B15" s="52" t="str">
        <f aca="false">IFERROR(VLOOKUP(A15,①従業員マスタ!$A$4:$I$56,2,0),"")</f>
        <v/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4" t="n">
        <f aca="false">COUNTIF(C15:AG15,"○")+COUNTIF(C15:AG15,"半")*0.5</f>
        <v>0</v>
      </c>
    </row>
    <row r="16" customFormat="false" ht="19.5" hidden="false" customHeight="true" outlineLevel="0" collapsed="false">
      <c r="A16" s="47"/>
      <c r="B16" s="48" t="str">
        <f aca="false">IFERROR(VLOOKUP(A16,①従業員マスタ!$A$4:$I$56,2,0),"")</f>
        <v/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50" t="n">
        <f aca="false">COUNTIF(C16:AG16,"○")+COUNTIF(C16:AG16,"半")*0.5</f>
        <v>0</v>
      </c>
    </row>
    <row r="17" customFormat="false" ht="19.5" hidden="false" customHeight="true" outlineLevel="0" collapsed="false">
      <c r="A17" s="51"/>
      <c r="B17" s="52" t="str">
        <f aca="false">IFERROR(VLOOKUP(A17,①従業員マスタ!$A$4:$I$56,2,0),"")</f>
        <v/>
      </c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4" t="n">
        <f aca="false">COUNTIF(C17:AG17,"○")+COUNTIF(C17:AG17,"半")*0.5</f>
        <v>0</v>
      </c>
    </row>
    <row r="18" customFormat="false" ht="19.5" hidden="false" customHeight="true" outlineLevel="0" collapsed="false">
      <c r="A18" s="47"/>
      <c r="B18" s="48" t="str">
        <f aca="false">IFERROR(VLOOKUP(A18,①従業員マスタ!$A$4:$I$56,2,0),"")</f>
        <v/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50" t="n">
        <f aca="false">COUNTIF(C18:AG18,"○")+COUNTIF(C18:AG18,"半")*0.5</f>
        <v>0</v>
      </c>
    </row>
    <row r="19" customFormat="false" ht="19.5" hidden="false" customHeight="true" outlineLevel="0" collapsed="false">
      <c r="A19" s="51"/>
      <c r="B19" s="52" t="str">
        <f aca="false">IFERROR(VLOOKUP(A19,①従業員マスタ!$A$4:$I$56,2,0),"")</f>
        <v/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4" t="n">
        <f aca="false">COUNTIF(C19:AG19,"○")+COUNTIF(C19:AG19,"半")*0.5</f>
        <v>0</v>
      </c>
    </row>
    <row r="20" customFormat="false" ht="19.5" hidden="false" customHeight="true" outlineLevel="0" collapsed="false">
      <c r="A20" s="47"/>
      <c r="B20" s="48" t="str">
        <f aca="false">IFERROR(VLOOKUP(A20,①従業員マスタ!$A$4:$I$56,2,0),"")</f>
        <v/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50" t="n">
        <f aca="false">COUNTIF(C20:AG20,"○")+COUNTIF(C20:AG20,"半")*0.5</f>
        <v>0</v>
      </c>
    </row>
    <row r="21" customFormat="false" ht="19.5" hidden="false" customHeight="true" outlineLevel="0" collapsed="false">
      <c r="A21" s="51"/>
      <c r="B21" s="52" t="str">
        <f aca="false">IFERROR(VLOOKUP(A21,①従業員マスタ!$A$4:$I$56,2,0),"")</f>
        <v/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4" t="n">
        <f aca="false">COUNTIF(C21:AG21,"○")+COUNTIF(C21:AG21,"半")*0.5</f>
        <v>0</v>
      </c>
    </row>
    <row r="22" customFormat="false" ht="19.5" hidden="false" customHeight="true" outlineLevel="0" collapsed="false">
      <c r="A22" s="47"/>
      <c r="B22" s="48" t="str">
        <f aca="false">IFERROR(VLOOKUP(A22,①従業員マスタ!$A$4:$I$56,2,0),"")</f>
        <v/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50" t="n">
        <f aca="false">COUNTIF(C22:AG22,"○")+COUNTIF(C22:AG22,"半")*0.5</f>
        <v>0</v>
      </c>
    </row>
    <row r="23" customFormat="false" ht="19.5" hidden="false" customHeight="true" outlineLevel="0" collapsed="false">
      <c r="A23" s="51"/>
      <c r="B23" s="52" t="str">
        <f aca="false">IFERROR(VLOOKUP(A23,①従業員マスタ!$A$4:$I$56,2,0),"")</f>
        <v/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4" t="n">
        <f aca="false">COUNTIF(C23:AG23,"○")+COUNTIF(C23:AG23,"半")*0.5</f>
        <v>0</v>
      </c>
    </row>
    <row r="24" customFormat="false" ht="19.5" hidden="false" customHeight="true" outlineLevel="0" collapsed="false">
      <c r="A24" s="47"/>
      <c r="B24" s="48" t="str">
        <f aca="false">IFERROR(VLOOKUP(A24,①従業員マスタ!$A$4:$I$56,2,0),"")</f>
        <v/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50" t="n">
        <f aca="false">COUNTIF(C24:AG24,"○")+COUNTIF(C24:AG24,"半")*0.5</f>
        <v>0</v>
      </c>
    </row>
    <row r="25" customFormat="false" ht="19.5" hidden="false" customHeight="true" outlineLevel="0" collapsed="false">
      <c r="A25" s="51"/>
      <c r="B25" s="52" t="str">
        <f aca="false">IFERROR(VLOOKUP(A25,①従業員マスタ!$A$4:$I$56,2,0),"")</f>
        <v/>
      </c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4" t="n">
        <f aca="false">COUNTIF(C25:AG25,"○")+COUNTIF(C25:AG25,"半")*0.5</f>
        <v>0</v>
      </c>
    </row>
  </sheetData>
  <mergeCells count="4">
    <mergeCell ref="A1:M1"/>
    <mergeCell ref="A2:M2"/>
    <mergeCell ref="C3:D3"/>
    <mergeCell ref="F3:J3"/>
  </mergeCells>
  <conditionalFormatting sqref="C5">
    <cfRule type="expression" priority="2" aboveAverage="0" equalAverage="0" bottom="0" percent="0" rank="0" text="" dxfId="0">
      <formula>C5="日"</formula>
    </cfRule>
    <cfRule type="expression" priority="3" aboveAverage="0" equalAverage="0" bottom="0" percent="0" rank="0" text="" dxfId="1">
      <formula>C5="土"</formula>
    </cfRule>
  </conditionalFormatting>
  <conditionalFormatting sqref="D5">
    <cfRule type="expression" priority="4" aboveAverage="0" equalAverage="0" bottom="0" percent="0" rank="0" text="" dxfId="0">
      <formula>D5="日"</formula>
    </cfRule>
    <cfRule type="expression" priority="5" aboveAverage="0" equalAverage="0" bottom="0" percent="0" rank="0" text="" dxfId="1">
      <formula>D5="土"</formula>
    </cfRule>
  </conditionalFormatting>
  <conditionalFormatting sqref="E5">
    <cfRule type="expression" priority="6" aboveAverage="0" equalAverage="0" bottom="0" percent="0" rank="0" text="" dxfId="0">
      <formula>E5="日"</formula>
    </cfRule>
    <cfRule type="expression" priority="7" aboveAverage="0" equalAverage="0" bottom="0" percent="0" rank="0" text="" dxfId="1">
      <formula>E5="土"</formula>
    </cfRule>
  </conditionalFormatting>
  <conditionalFormatting sqref="F5">
    <cfRule type="expression" priority="8" aboveAverage="0" equalAverage="0" bottom="0" percent="0" rank="0" text="" dxfId="0">
      <formula>F5="日"</formula>
    </cfRule>
    <cfRule type="expression" priority="9" aboveAverage="0" equalAverage="0" bottom="0" percent="0" rank="0" text="" dxfId="1">
      <formula>F5="土"</formula>
    </cfRule>
  </conditionalFormatting>
  <conditionalFormatting sqref="G5">
    <cfRule type="expression" priority="10" aboveAverage="0" equalAverage="0" bottom="0" percent="0" rank="0" text="" dxfId="0">
      <formula>G5="日"</formula>
    </cfRule>
    <cfRule type="expression" priority="11" aboveAverage="0" equalAverage="0" bottom="0" percent="0" rank="0" text="" dxfId="1">
      <formula>G5="土"</formula>
    </cfRule>
  </conditionalFormatting>
  <conditionalFormatting sqref="H5">
    <cfRule type="expression" priority="12" aboveAverage="0" equalAverage="0" bottom="0" percent="0" rank="0" text="" dxfId="0">
      <formula>H5="日"</formula>
    </cfRule>
    <cfRule type="expression" priority="13" aboveAverage="0" equalAverage="0" bottom="0" percent="0" rank="0" text="" dxfId="1">
      <formula>H5="土"</formula>
    </cfRule>
  </conditionalFormatting>
  <conditionalFormatting sqref="I5">
    <cfRule type="expression" priority="14" aboveAverage="0" equalAverage="0" bottom="0" percent="0" rank="0" text="" dxfId="0">
      <formula>I5="日"</formula>
    </cfRule>
    <cfRule type="expression" priority="15" aboveAverage="0" equalAverage="0" bottom="0" percent="0" rank="0" text="" dxfId="1">
      <formula>I5="土"</formula>
    </cfRule>
  </conditionalFormatting>
  <conditionalFormatting sqref="J5">
    <cfRule type="expression" priority="16" aboveAverage="0" equalAverage="0" bottom="0" percent="0" rank="0" text="" dxfId="0">
      <formula>J5="日"</formula>
    </cfRule>
    <cfRule type="expression" priority="17" aboveAverage="0" equalAverage="0" bottom="0" percent="0" rank="0" text="" dxfId="1">
      <formula>J5="土"</formula>
    </cfRule>
  </conditionalFormatting>
  <conditionalFormatting sqref="K5">
    <cfRule type="expression" priority="18" aboveAverage="0" equalAverage="0" bottom="0" percent="0" rank="0" text="" dxfId="0">
      <formula>K5="日"</formula>
    </cfRule>
    <cfRule type="expression" priority="19" aboveAverage="0" equalAverage="0" bottom="0" percent="0" rank="0" text="" dxfId="1">
      <formula>K5="土"</formula>
    </cfRule>
  </conditionalFormatting>
  <conditionalFormatting sqref="L5">
    <cfRule type="expression" priority="20" aboveAverage="0" equalAverage="0" bottom="0" percent="0" rank="0" text="" dxfId="0">
      <formula>L5="日"</formula>
    </cfRule>
    <cfRule type="expression" priority="21" aboveAverage="0" equalAverage="0" bottom="0" percent="0" rank="0" text="" dxfId="1">
      <formula>L5="土"</formula>
    </cfRule>
  </conditionalFormatting>
  <conditionalFormatting sqref="M5">
    <cfRule type="expression" priority="22" aboveAverage="0" equalAverage="0" bottom="0" percent="0" rank="0" text="" dxfId="0">
      <formula>M5="日"</formula>
    </cfRule>
    <cfRule type="expression" priority="23" aboveAverage="0" equalAverage="0" bottom="0" percent="0" rank="0" text="" dxfId="1">
      <formula>M5="土"</formula>
    </cfRule>
  </conditionalFormatting>
  <conditionalFormatting sqref="N5">
    <cfRule type="expression" priority="24" aboveAverage="0" equalAverage="0" bottom="0" percent="0" rank="0" text="" dxfId="0">
      <formula>N5="日"</formula>
    </cfRule>
    <cfRule type="expression" priority="25" aboveAverage="0" equalAverage="0" bottom="0" percent="0" rank="0" text="" dxfId="1">
      <formula>N5="土"</formula>
    </cfRule>
  </conditionalFormatting>
  <conditionalFormatting sqref="O5">
    <cfRule type="expression" priority="26" aboveAverage="0" equalAverage="0" bottom="0" percent="0" rank="0" text="" dxfId="0">
      <formula>O5="日"</formula>
    </cfRule>
    <cfRule type="expression" priority="27" aboveAverage="0" equalAverage="0" bottom="0" percent="0" rank="0" text="" dxfId="1">
      <formula>O5="土"</formula>
    </cfRule>
  </conditionalFormatting>
  <conditionalFormatting sqref="P5">
    <cfRule type="expression" priority="28" aboveAverage="0" equalAverage="0" bottom="0" percent="0" rank="0" text="" dxfId="0">
      <formula>P5="日"</formula>
    </cfRule>
    <cfRule type="expression" priority="29" aboveAverage="0" equalAverage="0" bottom="0" percent="0" rank="0" text="" dxfId="1">
      <formula>P5="土"</formula>
    </cfRule>
  </conditionalFormatting>
  <conditionalFormatting sqref="Q5">
    <cfRule type="expression" priority="30" aboveAverage="0" equalAverage="0" bottom="0" percent="0" rank="0" text="" dxfId="0">
      <formula>Q5="日"</formula>
    </cfRule>
    <cfRule type="expression" priority="31" aboveAverage="0" equalAverage="0" bottom="0" percent="0" rank="0" text="" dxfId="1">
      <formula>Q5="土"</formula>
    </cfRule>
  </conditionalFormatting>
  <conditionalFormatting sqref="R5">
    <cfRule type="expression" priority="32" aboveAverage="0" equalAverage="0" bottom="0" percent="0" rank="0" text="" dxfId="0">
      <formula>R5="日"</formula>
    </cfRule>
    <cfRule type="expression" priority="33" aboveAverage="0" equalAverage="0" bottom="0" percent="0" rank="0" text="" dxfId="1">
      <formula>R5="土"</formula>
    </cfRule>
  </conditionalFormatting>
  <conditionalFormatting sqref="S5">
    <cfRule type="expression" priority="34" aboveAverage="0" equalAverage="0" bottom="0" percent="0" rank="0" text="" dxfId="0">
      <formula>S5="日"</formula>
    </cfRule>
    <cfRule type="expression" priority="35" aboveAverage="0" equalAverage="0" bottom="0" percent="0" rank="0" text="" dxfId="1">
      <formula>S5="土"</formula>
    </cfRule>
  </conditionalFormatting>
  <conditionalFormatting sqref="T5">
    <cfRule type="expression" priority="36" aboveAverage="0" equalAverage="0" bottom="0" percent="0" rank="0" text="" dxfId="0">
      <formula>T5="日"</formula>
    </cfRule>
    <cfRule type="expression" priority="37" aboveAverage="0" equalAverage="0" bottom="0" percent="0" rank="0" text="" dxfId="1">
      <formula>T5="土"</formula>
    </cfRule>
  </conditionalFormatting>
  <conditionalFormatting sqref="U5">
    <cfRule type="expression" priority="38" aboveAverage="0" equalAverage="0" bottom="0" percent="0" rank="0" text="" dxfId="0">
      <formula>U5="日"</formula>
    </cfRule>
    <cfRule type="expression" priority="39" aboveAverage="0" equalAverage="0" bottom="0" percent="0" rank="0" text="" dxfId="1">
      <formula>U5="土"</formula>
    </cfRule>
  </conditionalFormatting>
  <conditionalFormatting sqref="V5">
    <cfRule type="expression" priority="40" aboveAverage="0" equalAverage="0" bottom="0" percent="0" rank="0" text="" dxfId="0">
      <formula>V5="日"</formula>
    </cfRule>
    <cfRule type="expression" priority="41" aboveAverage="0" equalAverage="0" bottom="0" percent="0" rank="0" text="" dxfId="1">
      <formula>V5="土"</formula>
    </cfRule>
  </conditionalFormatting>
  <conditionalFormatting sqref="W5">
    <cfRule type="expression" priority="42" aboveAverage="0" equalAverage="0" bottom="0" percent="0" rank="0" text="" dxfId="0">
      <formula>W5="日"</formula>
    </cfRule>
    <cfRule type="expression" priority="43" aboveAverage="0" equalAverage="0" bottom="0" percent="0" rank="0" text="" dxfId="1">
      <formula>W5="土"</formula>
    </cfRule>
  </conditionalFormatting>
  <conditionalFormatting sqref="X5">
    <cfRule type="expression" priority="44" aboveAverage="0" equalAverage="0" bottom="0" percent="0" rank="0" text="" dxfId="0">
      <formula>X5="日"</formula>
    </cfRule>
    <cfRule type="expression" priority="45" aboveAverage="0" equalAverage="0" bottom="0" percent="0" rank="0" text="" dxfId="1">
      <formula>X5="土"</formula>
    </cfRule>
  </conditionalFormatting>
  <conditionalFormatting sqref="Y5">
    <cfRule type="expression" priority="46" aboveAverage="0" equalAverage="0" bottom="0" percent="0" rank="0" text="" dxfId="0">
      <formula>Y5="日"</formula>
    </cfRule>
    <cfRule type="expression" priority="47" aboveAverage="0" equalAverage="0" bottom="0" percent="0" rank="0" text="" dxfId="1">
      <formula>Y5="土"</formula>
    </cfRule>
  </conditionalFormatting>
  <conditionalFormatting sqref="Z5">
    <cfRule type="expression" priority="48" aboveAverage="0" equalAverage="0" bottom="0" percent="0" rank="0" text="" dxfId="0">
      <formula>Z5="日"</formula>
    </cfRule>
    <cfRule type="expression" priority="49" aboveAverage="0" equalAverage="0" bottom="0" percent="0" rank="0" text="" dxfId="1">
      <formula>Z5="土"</formula>
    </cfRule>
  </conditionalFormatting>
  <conditionalFormatting sqref="AA5">
    <cfRule type="expression" priority="50" aboveAverage="0" equalAverage="0" bottom="0" percent="0" rank="0" text="" dxfId="0">
      <formula>AA5="日"</formula>
    </cfRule>
    <cfRule type="expression" priority="51" aboveAverage="0" equalAverage="0" bottom="0" percent="0" rank="0" text="" dxfId="1">
      <formula>AA5="土"</formula>
    </cfRule>
  </conditionalFormatting>
  <conditionalFormatting sqref="AB5">
    <cfRule type="expression" priority="52" aboveAverage="0" equalAverage="0" bottom="0" percent="0" rank="0" text="" dxfId="0">
      <formula>AB5="日"</formula>
    </cfRule>
    <cfRule type="expression" priority="53" aboveAverage="0" equalAverage="0" bottom="0" percent="0" rank="0" text="" dxfId="1">
      <formula>AB5="土"</formula>
    </cfRule>
  </conditionalFormatting>
  <conditionalFormatting sqref="AC5">
    <cfRule type="expression" priority="54" aboveAverage="0" equalAverage="0" bottom="0" percent="0" rank="0" text="" dxfId="0">
      <formula>AC5="日"</formula>
    </cfRule>
    <cfRule type="expression" priority="55" aboveAverage="0" equalAverage="0" bottom="0" percent="0" rank="0" text="" dxfId="1">
      <formula>AC5="土"</formula>
    </cfRule>
  </conditionalFormatting>
  <conditionalFormatting sqref="AD5">
    <cfRule type="expression" priority="56" aboveAverage="0" equalAverage="0" bottom="0" percent="0" rank="0" text="" dxfId="0">
      <formula>AD5="日"</formula>
    </cfRule>
    <cfRule type="expression" priority="57" aboveAverage="0" equalAverage="0" bottom="0" percent="0" rank="0" text="" dxfId="1">
      <formula>AD5="土"</formula>
    </cfRule>
  </conditionalFormatting>
  <conditionalFormatting sqref="AE5">
    <cfRule type="expression" priority="58" aboveAverage="0" equalAverage="0" bottom="0" percent="0" rank="0" text="" dxfId="0">
      <formula>AE5="日"</formula>
    </cfRule>
    <cfRule type="expression" priority="59" aboveAverage="0" equalAverage="0" bottom="0" percent="0" rank="0" text="" dxfId="1">
      <formula>AE5="土"</formula>
    </cfRule>
  </conditionalFormatting>
  <conditionalFormatting sqref="AF5">
    <cfRule type="expression" priority="60" aboveAverage="0" equalAverage="0" bottom="0" percent="0" rank="0" text="" dxfId="0">
      <formula>AF5="日"</formula>
    </cfRule>
    <cfRule type="expression" priority="61" aboveAverage="0" equalAverage="0" bottom="0" percent="0" rank="0" text="" dxfId="1">
      <formula>AF5="土"</formula>
    </cfRule>
  </conditionalFormatting>
  <conditionalFormatting sqref="AG5">
    <cfRule type="expression" priority="62" aboveAverage="0" equalAverage="0" bottom="0" percent="0" rank="0" text="" dxfId="0">
      <formula>AG5="日"</formula>
    </cfRule>
    <cfRule type="expression" priority="63" aboveAverage="0" equalAverage="0" bottom="0" percent="0" rank="0" text="" dxfId="1">
      <formula>AG5="土"</formula>
    </cfRule>
  </conditionalFormatting>
  <conditionalFormatting sqref="C6:AG6">
    <cfRule type="cellIs" priority="64" operator="equal" aboveAverage="0" equalAverage="0" bottom="0" percent="0" rank="0" text="" dxfId="2">
      <formula>"○"</formula>
    </cfRule>
    <cfRule type="cellIs" priority="65" operator="equal" aboveAverage="0" equalAverage="0" bottom="0" percent="0" rank="0" text="" dxfId="3">
      <formula>"×"</formula>
    </cfRule>
    <cfRule type="cellIs" priority="66" operator="equal" aboveAverage="0" equalAverage="0" bottom="0" percent="0" rank="0" text="" dxfId="4">
      <formula>"有"</formula>
    </cfRule>
  </conditionalFormatting>
  <conditionalFormatting sqref="C7:AG7">
    <cfRule type="cellIs" priority="67" operator="equal" aboveAverage="0" equalAverage="0" bottom="0" percent="0" rank="0" text="" dxfId="2">
      <formula>"○"</formula>
    </cfRule>
    <cfRule type="cellIs" priority="68" operator="equal" aboveAverage="0" equalAverage="0" bottom="0" percent="0" rank="0" text="" dxfId="3">
      <formula>"×"</formula>
    </cfRule>
    <cfRule type="cellIs" priority="69" operator="equal" aboveAverage="0" equalAverage="0" bottom="0" percent="0" rank="0" text="" dxfId="4">
      <formula>"有"</formula>
    </cfRule>
  </conditionalFormatting>
  <conditionalFormatting sqref="C8:AG8">
    <cfRule type="cellIs" priority="70" operator="equal" aboveAverage="0" equalAverage="0" bottom="0" percent="0" rank="0" text="" dxfId="2">
      <formula>"○"</formula>
    </cfRule>
    <cfRule type="cellIs" priority="71" operator="equal" aboveAverage="0" equalAverage="0" bottom="0" percent="0" rank="0" text="" dxfId="3">
      <formula>"×"</formula>
    </cfRule>
    <cfRule type="cellIs" priority="72" operator="equal" aboveAverage="0" equalAverage="0" bottom="0" percent="0" rank="0" text="" dxfId="4">
      <formula>"有"</formula>
    </cfRule>
  </conditionalFormatting>
  <conditionalFormatting sqref="C9:AG9">
    <cfRule type="cellIs" priority="73" operator="equal" aboveAverage="0" equalAverage="0" bottom="0" percent="0" rank="0" text="" dxfId="2">
      <formula>"○"</formula>
    </cfRule>
    <cfRule type="cellIs" priority="74" operator="equal" aboveAverage="0" equalAverage="0" bottom="0" percent="0" rank="0" text="" dxfId="3">
      <formula>"×"</formula>
    </cfRule>
    <cfRule type="cellIs" priority="75" operator="equal" aboveAverage="0" equalAverage="0" bottom="0" percent="0" rank="0" text="" dxfId="4">
      <formula>"有"</formula>
    </cfRule>
  </conditionalFormatting>
  <conditionalFormatting sqref="C10:AG10">
    <cfRule type="cellIs" priority="76" operator="equal" aboveAverage="0" equalAverage="0" bottom="0" percent="0" rank="0" text="" dxfId="2">
      <formula>"○"</formula>
    </cfRule>
    <cfRule type="cellIs" priority="77" operator="equal" aboveAverage="0" equalAverage="0" bottom="0" percent="0" rank="0" text="" dxfId="3">
      <formula>"×"</formula>
    </cfRule>
    <cfRule type="cellIs" priority="78" operator="equal" aboveAverage="0" equalAverage="0" bottom="0" percent="0" rank="0" text="" dxfId="4">
      <formula>"有"</formula>
    </cfRule>
  </conditionalFormatting>
  <conditionalFormatting sqref="C11:AG11">
    <cfRule type="cellIs" priority="79" operator="equal" aboveAverage="0" equalAverage="0" bottom="0" percent="0" rank="0" text="" dxfId="2">
      <formula>"○"</formula>
    </cfRule>
    <cfRule type="cellIs" priority="80" operator="equal" aboveAverage="0" equalAverage="0" bottom="0" percent="0" rank="0" text="" dxfId="3">
      <formula>"×"</formula>
    </cfRule>
    <cfRule type="cellIs" priority="81" operator="equal" aboveAverage="0" equalAverage="0" bottom="0" percent="0" rank="0" text="" dxfId="4">
      <formula>"有"</formula>
    </cfRule>
  </conditionalFormatting>
  <conditionalFormatting sqref="C12:AG12">
    <cfRule type="cellIs" priority="82" operator="equal" aboveAverage="0" equalAverage="0" bottom="0" percent="0" rank="0" text="" dxfId="2">
      <formula>"○"</formula>
    </cfRule>
    <cfRule type="cellIs" priority="83" operator="equal" aboveAverage="0" equalAverage="0" bottom="0" percent="0" rank="0" text="" dxfId="3">
      <formula>"×"</formula>
    </cfRule>
    <cfRule type="cellIs" priority="84" operator="equal" aboveAverage="0" equalAverage="0" bottom="0" percent="0" rank="0" text="" dxfId="4">
      <formula>"有"</formula>
    </cfRule>
  </conditionalFormatting>
  <conditionalFormatting sqref="C13:AG13">
    <cfRule type="cellIs" priority="85" operator="equal" aboveAverage="0" equalAverage="0" bottom="0" percent="0" rank="0" text="" dxfId="2">
      <formula>"○"</formula>
    </cfRule>
    <cfRule type="cellIs" priority="86" operator="equal" aboveAverage="0" equalAverage="0" bottom="0" percent="0" rank="0" text="" dxfId="3">
      <formula>"×"</formula>
    </cfRule>
    <cfRule type="cellIs" priority="87" operator="equal" aboveAverage="0" equalAverage="0" bottom="0" percent="0" rank="0" text="" dxfId="4">
      <formula>"有"</formula>
    </cfRule>
  </conditionalFormatting>
  <conditionalFormatting sqref="C14:AG14">
    <cfRule type="cellIs" priority="88" operator="equal" aboveAverage="0" equalAverage="0" bottom="0" percent="0" rank="0" text="" dxfId="2">
      <formula>"○"</formula>
    </cfRule>
    <cfRule type="cellIs" priority="89" operator="equal" aboveAverage="0" equalAverage="0" bottom="0" percent="0" rank="0" text="" dxfId="3">
      <formula>"×"</formula>
    </cfRule>
    <cfRule type="cellIs" priority="90" operator="equal" aboveAverage="0" equalAverage="0" bottom="0" percent="0" rank="0" text="" dxfId="4">
      <formula>"有"</formula>
    </cfRule>
  </conditionalFormatting>
  <conditionalFormatting sqref="C15:AG15">
    <cfRule type="cellIs" priority="91" operator="equal" aboveAverage="0" equalAverage="0" bottom="0" percent="0" rank="0" text="" dxfId="2">
      <formula>"○"</formula>
    </cfRule>
    <cfRule type="cellIs" priority="92" operator="equal" aboveAverage="0" equalAverage="0" bottom="0" percent="0" rank="0" text="" dxfId="3">
      <formula>"×"</formula>
    </cfRule>
    <cfRule type="cellIs" priority="93" operator="equal" aboveAverage="0" equalAverage="0" bottom="0" percent="0" rank="0" text="" dxfId="4">
      <formula>"有"</formula>
    </cfRule>
  </conditionalFormatting>
  <conditionalFormatting sqref="C16:AG16">
    <cfRule type="cellIs" priority="94" operator="equal" aboveAverage="0" equalAverage="0" bottom="0" percent="0" rank="0" text="" dxfId="2">
      <formula>"○"</formula>
    </cfRule>
    <cfRule type="cellIs" priority="95" operator="equal" aboveAverage="0" equalAverage="0" bottom="0" percent="0" rank="0" text="" dxfId="3">
      <formula>"×"</formula>
    </cfRule>
    <cfRule type="cellIs" priority="96" operator="equal" aboveAverage="0" equalAverage="0" bottom="0" percent="0" rank="0" text="" dxfId="4">
      <formula>"有"</formula>
    </cfRule>
  </conditionalFormatting>
  <conditionalFormatting sqref="C17:AG17">
    <cfRule type="cellIs" priority="97" operator="equal" aboveAverage="0" equalAverage="0" bottom="0" percent="0" rank="0" text="" dxfId="2">
      <formula>"○"</formula>
    </cfRule>
    <cfRule type="cellIs" priority="98" operator="equal" aboveAverage="0" equalAverage="0" bottom="0" percent="0" rank="0" text="" dxfId="3">
      <formula>"×"</formula>
    </cfRule>
    <cfRule type="cellIs" priority="99" operator="equal" aboveAverage="0" equalAverage="0" bottom="0" percent="0" rank="0" text="" dxfId="4">
      <formula>"有"</formula>
    </cfRule>
  </conditionalFormatting>
  <conditionalFormatting sqref="C18:AG18">
    <cfRule type="cellIs" priority="100" operator="equal" aboveAverage="0" equalAverage="0" bottom="0" percent="0" rank="0" text="" dxfId="2">
      <formula>"○"</formula>
    </cfRule>
    <cfRule type="cellIs" priority="101" operator="equal" aboveAverage="0" equalAverage="0" bottom="0" percent="0" rank="0" text="" dxfId="3">
      <formula>"×"</formula>
    </cfRule>
    <cfRule type="cellIs" priority="102" operator="equal" aboveAverage="0" equalAverage="0" bottom="0" percent="0" rank="0" text="" dxfId="4">
      <formula>"有"</formula>
    </cfRule>
  </conditionalFormatting>
  <conditionalFormatting sqref="C19:AG19">
    <cfRule type="cellIs" priority="103" operator="equal" aboveAverage="0" equalAverage="0" bottom="0" percent="0" rank="0" text="" dxfId="2">
      <formula>"○"</formula>
    </cfRule>
    <cfRule type="cellIs" priority="104" operator="equal" aboveAverage="0" equalAverage="0" bottom="0" percent="0" rank="0" text="" dxfId="3">
      <formula>"×"</formula>
    </cfRule>
    <cfRule type="cellIs" priority="105" operator="equal" aboveAverage="0" equalAverage="0" bottom="0" percent="0" rank="0" text="" dxfId="4">
      <formula>"有"</formula>
    </cfRule>
  </conditionalFormatting>
  <conditionalFormatting sqref="C20:AG20">
    <cfRule type="cellIs" priority="106" operator="equal" aboveAverage="0" equalAverage="0" bottom="0" percent="0" rank="0" text="" dxfId="2">
      <formula>"○"</formula>
    </cfRule>
    <cfRule type="cellIs" priority="107" operator="equal" aboveAverage="0" equalAverage="0" bottom="0" percent="0" rank="0" text="" dxfId="3">
      <formula>"×"</formula>
    </cfRule>
    <cfRule type="cellIs" priority="108" operator="equal" aboveAverage="0" equalAverage="0" bottom="0" percent="0" rank="0" text="" dxfId="4">
      <formula>"有"</formula>
    </cfRule>
  </conditionalFormatting>
  <conditionalFormatting sqref="C21:AG21">
    <cfRule type="cellIs" priority="109" operator="equal" aboveAverage="0" equalAverage="0" bottom="0" percent="0" rank="0" text="" dxfId="2">
      <formula>"○"</formula>
    </cfRule>
    <cfRule type="cellIs" priority="110" operator="equal" aboveAverage="0" equalAverage="0" bottom="0" percent="0" rank="0" text="" dxfId="3">
      <formula>"×"</formula>
    </cfRule>
    <cfRule type="cellIs" priority="111" operator="equal" aboveAverage="0" equalAverage="0" bottom="0" percent="0" rank="0" text="" dxfId="4">
      <formula>"有"</formula>
    </cfRule>
  </conditionalFormatting>
  <conditionalFormatting sqref="C22:AG22">
    <cfRule type="cellIs" priority="112" operator="equal" aboveAverage="0" equalAverage="0" bottom="0" percent="0" rank="0" text="" dxfId="2">
      <formula>"○"</formula>
    </cfRule>
    <cfRule type="cellIs" priority="113" operator="equal" aboveAverage="0" equalAverage="0" bottom="0" percent="0" rank="0" text="" dxfId="3">
      <formula>"×"</formula>
    </cfRule>
    <cfRule type="cellIs" priority="114" operator="equal" aboveAverage="0" equalAverage="0" bottom="0" percent="0" rank="0" text="" dxfId="4">
      <formula>"有"</formula>
    </cfRule>
  </conditionalFormatting>
  <conditionalFormatting sqref="C23:AG23">
    <cfRule type="cellIs" priority="115" operator="equal" aboveAverage="0" equalAverage="0" bottom="0" percent="0" rank="0" text="" dxfId="2">
      <formula>"○"</formula>
    </cfRule>
    <cfRule type="cellIs" priority="116" operator="equal" aboveAverage="0" equalAverage="0" bottom="0" percent="0" rank="0" text="" dxfId="3">
      <formula>"×"</formula>
    </cfRule>
    <cfRule type="cellIs" priority="117" operator="equal" aboveAverage="0" equalAverage="0" bottom="0" percent="0" rank="0" text="" dxfId="4">
      <formula>"有"</formula>
    </cfRule>
  </conditionalFormatting>
  <conditionalFormatting sqref="C24:AG24">
    <cfRule type="cellIs" priority="118" operator="equal" aboveAverage="0" equalAverage="0" bottom="0" percent="0" rank="0" text="" dxfId="2">
      <formula>"○"</formula>
    </cfRule>
    <cfRule type="cellIs" priority="119" operator="equal" aboveAverage="0" equalAverage="0" bottom="0" percent="0" rank="0" text="" dxfId="3">
      <formula>"×"</formula>
    </cfRule>
    <cfRule type="cellIs" priority="120" operator="equal" aboveAverage="0" equalAverage="0" bottom="0" percent="0" rank="0" text="" dxfId="4">
      <formula>"有"</formula>
    </cfRule>
  </conditionalFormatting>
  <conditionalFormatting sqref="C25:AG25">
    <cfRule type="cellIs" priority="121" operator="equal" aboveAverage="0" equalAverage="0" bottom="0" percent="0" rank="0" text="" dxfId="2">
      <formula>"○"</formula>
    </cfRule>
    <cfRule type="cellIs" priority="122" operator="equal" aboveAverage="0" equalAverage="0" bottom="0" percent="0" rank="0" text="" dxfId="3">
      <formula>"×"</formula>
    </cfRule>
    <cfRule type="cellIs" priority="123" operator="equal" aboveAverage="0" equalAverage="0" bottom="0" percent="0" rank="0" text="" dxfId="4">
      <formula>"有"</formula>
    </cfRule>
  </conditionalFormatting>
  <dataValidations count="1">
    <dataValidation allowBlank="true" errorStyle="stop" operator="between" showDropDown="false" showErrorMessage="false" showInputMessage="false" sqref="C6:AG25" type="list">
      <formula1>"○,×,有,半,特"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M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24" hidden="false" customHeight="true" outlineLevel="0" collapsed="false">
      <c r="A1" s="13" t="s">
        <v>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.75" hidden="false" customHeight="true" outlineLevel="0" collapsed="false">
      <c r="A2" s="14" t="s">
        <v>69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7.75" hidden="false" customHeight="true" outlineLevel="0" collapsed="false">
      <c r="A3" s="15" t="s">
        <v>70</v>
      </c>
      <c r="B3" s="15" t="s">
        <v>71</v>
      </c>
      <c r="C3" s="15" t="s">
        <v>30</v>
      </c>
      <c r="D3" s="15" t="s">
        <v>66</v>
      </c>
      <c r="E3" s="15" t="s">
        <v>72</v>
      </c>
      <c r="F3" s="15" t="s">
        <v>73</v>
      </c>
      <c r="G3" s="15" t="s">
        <v>74</v>
      </c>
      <c r="H3" s="15" t="s">
        <v>75</v>
      </c>
      <c r="I3" s="15" t="s">
        <v>76</v>
      </c>
      <c r="J3" s="15" t="s">
        <v>77</v>
      </c>
      <c r="K3" s="15" t="s">
        <v>38</v>
      </c>
    </row>
    <row r="4" customFormat="false" ht="19.5" hidden="false" customHeight="true" outlineLevel="0" collapsed="false">
      <c r="A4" s="34"/>
      <c r="B4" s="55"/>
      <c r="C4" s="34"/>
      <c r="D4" s="48" t="str">
        <f aca="false">IFERROR(VLOOKUP(C4,①従業員マスタ!$A$4:$I$56,2,0),"")</f>
        <v/>
      </c>
      <c r="E4" s="56"/>
      <c r="F4" s="56"/>
      <c r="G4" s="36"/>
      <c r="H4" s="57" t="str">
        <f aca="false">IFERROR(IF(AND(E4&lt;&gt;"",F4&lt;&gt;""),(F4-E4)*24-IF(G4&lt;&gt;"",G4,0),""),"")</f>
        <v/>
      </c>
      <c r="I4" s="58" t="str">
        <f aca="false">IFERROR(VLOOKUP(C4,①従業員マスタ!$A$4:$I$56,6,0),"")</f>
        <v/>
      </c>
      <c r="J4" s="57" t="str">
        <f aca="false">IFERROR(IF(AND(H4&lt;&gt;"",I4&lt;&gt;""),MAX(H4-I4,0),""),"")</f>
        <v/>
      </c>
      <c r="K4" s="34"/>
    </row>
    <row r="5" customFormat="false" ht="19.5" hidden="false" customHeight="true" outlineLevel="0" collapsed="false">
      <c r="A5" s="30"/>
      <c r="B5" s="59"/>
      <c r="C5" s="30"/>
      <c r="D5" s="52" t="str">
        <f aca="false">IFERROR(VLOOKUP(C5,①従業員マスタ!$A$4:$I$56,2,0),"")</f>
        <v/>
      </c>
      <c r="E5" s="60"/>
      <c r="F5" s="60"/>
      <c r="G5" s="32"/>
      <c r="H5" s="61" t="str">
        <f aca="false">IFERROR(IF(AND(E5&lt;&gt;"",F5&lt;&gt;""),(F5-E5)*24-IF(G5&lt;&gt;"",G5,0),""),"")</f>
        <v/>
      </c>
      <c r="I5" s="62" t="str">
        <f aca="false">IFERROR(VLOOKUP(C5,①従業員マスタ!$A$4:$I$56,6,0),"")</f>
        <v/>
      </c>
      <c r="J5" s="61" t="str">
        <f aca="false">IFERROR(IF(AND(H5&lt;&gt;"",I5&lt;&gt;""),MAX(H5-I5,0),""),"")</f>
        <v/>
      </c>
      <c r="K5" s="30"/>
    </row>
    <row r="6" customFormat="false" ht="19.5" hidden="false" customHeight="true" outlineLevel="0" collapsed="false">
      <c r="A6" s="34"/>
      <c r="B6" s="55"/>
      <c r="C6" s="34"/>
      <c r="D6" s="48" t="str">
        <f aca="false">IFERROR(VLOOKUP(C6,①従業員マスタ!$A$4:$I$56,2,0),"")</f>
        <v/>
      </c>
      <c r="E6" s="56"/>
      <c r="F6" s="56"/>
      <c r="G6" s="36"/>
      <c r="H6" s="57" t="str">
        <f aca="false">IFERROR(IF(AND(E6&lt;&gt;"",F6&lt;&gt;""),(F6-E6)*24-IF(G6&lt;&gt;"",G6,0),""),"")</f>
        <v/>
      </c>
      <c r="I6" s="58" t="str">
        <f aca="false">IFERROR(VLOOKUP(C6,①従業員マスタ!$A$4:$I$56,6,0),"")</f>
        <v/>
      </c>
      <c r="J6" s="57" t="str">
        <f aca="false">IFERROR(IF(AND(H6&lt;&gt;"",I6&lt;&gt;""),MAX(H6-I6,0),""),"")</f>
        <v/>
      </c>
      <c r="K6" s="34"/>
    </row>
    <row r="7" customFormat="false" ht="19.5" hidden="false" customHeight="true" outlineLevel="0" collapsed="false">
      <c r="A7" s="30"/>
      <c r="B7" s="59"/>
      <c r="C7" s="30"/>
      <c r="D7" s="52" t="str">
        <f aca="false">IFERROR(VLOOKUP(C7,①従業員マスタ!$A$4:$I$56,2,0),"")</f>
        <v/>
      </c>
      <c r="E7" s="60"/>
      <c r="F7" s="60"/>
      <c r="G7" s="32"/>
      <c r="H7" s="61" t="str">
        <f aca="false">IFERROR(IF(AND(E7&lt;&gt;"",F7&lt;&gt;""),(F7-E7)*24-IF(G7&lt;&gt;"",G7,0),""),"")</f>
        <v/>
      </c>
      <c r="I7" s="62" t="str">
        <f aca="false">IFERROR(VLOOKUP(C7,①従業員マスタ!$A$4:$I$56,6,0),"")</f>
        <v/>
      </c>
      <c r="J7" s="61" t="str">
        <f aca="false">IFERROR(IF(AND(H7&lt;&gt;"",I7&lt;&gt;""),MAX(H7-I7,0),""),"")</f>
        <v/>
      </c>
      <c r="K7" s="30"/>
    </row>
    <row r="8" customFormat="false" ht="19.5" hidden="false" customHeight="true" outlineLevel="0" collapsed="false">
      <c r="A8" s="34"/>
      <c r="B8" s="55"/>
      <c r="C8" s="34"/>
      <c r="D8" s="48" t="str">
        <f aca="false">IFERROR(VLOOKUP(C8,①従業員マスタ!$A$4:$I$56,2,0),"")</f>
        <v/>
      </c>
      <c r="E8" s="56"/>
      <c r="F8" s="56"/>
      <c r="G8" s="36"/>
      <c r="H8" s="57" t="str">
        <f aca="false">IFERROR(IF(AND(E8&lt;&gt;"",F8&lt;&gt;""),(F8-E8)*24-IF(G8&lt;&gt;"",G8,0),""),"")</f>
        <v/>
      </c>
      <c r="I8" s="58" t="str">
        <f aca="false">IFERROR(VLOOKUP(C8,①従業員マスタ!$A$4:$I$56,6,0),"")</f>
        <v/>
      </c>
      <c r="J8" s="57" t="str">
        <f aca="false">IFERROR(IF(AND(H8&lt;&gt;"",I8&lt;&gt;""),MAX(H8-I8,0),""),"")</f>
        <v/>
      </c>
      <c r="K8" s="34"/>
    </row>
    <row r="9" customFormat="false" ht="19.5" hidden="false" customHeight="true" outlineLevel="0" collapsed="false">
      <c r="A9" s="30"/>
      <c r="B9" s="59"/>
      <c r="C9" s="30"/>
      <c r="D9" s="52" t="str">
        <f aca="false">IFERROR(VLOOKUP(C9,①従業員マスタ!$A$4:$I$56,2,0),"")</f>
        <v/>
      </c>
      <c r="E9" s="60"/>
      <c r="F9" s="60"/>
      <c r="G9" s="32"/>
      <c r="H9" s="61" t="str">
        <f aca="false">IFERROR(IF(AND(E9&lt;&gt;"",F9&lt;&gt;""),(F9-E9)*24-IF(G9&lt;&gt;"",G9,0),""),"")</f>
        <v/>
      </c>
      <c r="I9" s="62" t="str">
        <f aca="false">IFERROR(VLOOKUP(C9,①従業員マスタ!$A$4:$I$56,6,0),"")</f>
        <v/>
      </c>
      <c r="J9" s="61" t="str">
        <f aca="false">IFERROR(IF(AND(H9&lt;&gt;"",I9&lt;&gt;""),MAX(H9-I9,0),""),"")</f>
        <v/>
      </c>
      <c r="K9" s="30"/>
    </row>
    <row r="10" customFormat="false" ht="19.5" hidden="false" customHeight="true" outlineLevel="0" collapsed="false">
      <c r="A10" s="34"/>
      <c r="B10" s="55"/>
      <c r="C10" s="34"/>
      <c r="D10" s="48" t="str">
        <f aca="false">IFERROR(VLOOKUP(C10,①従業員マスタ!$A$4:$I$56,2,0),"")</f>
        <v/>
      </c>
      <c r="E10" s="56"/>
      <c r="F10" s="56"/>
      <c r="G10" s="36"/>
      <c r="H10" s="57" t="str">
        <f aca="false">IFERROR(IF(AND(E10&lt;&gt;"",F10&lt;&gt;""),(F10-E10)*24-IF(G10&lt;&gt;"",G10,0),""),"")</f>
        <v/>
      </c>
      <c r="I10" s="58" t="str">
        <f aca="false">IFERROR(VLOOKUP(C10,①従業員マスタ!$A$4:$I$56,6,0),"")</f>
        <v/>
      </c>
      <c r="J10" s="57" t="str">
        <f aca="false">IFERROR(IF(AND(H10&lt;&gt;"",I10&lt;&gt;""),MAX(H10-I10,0),""),"")</f>
        <v/>
      </c>
      <c r="K10" s="34"/>
    </row>
    <row r="11" customFormat="false" ht="19.5" hidden="false" customHeight="true" outlineLevel="0" collapsed="false">
      <c r="A11" s="30"/>
      <c r="B11" s="59"/>
      <c r="C11" s="30"/>
      <c r="D11" s="52" t="str">
        <f aca="false">IFERROR(VLOOKUP(C11,①従業員マスタ!$A$4:$I$56,2,0),"")</f>
        <v/>
      </c>
      <c r="E11" s="60"/>
      <c r="F11" s="60"/>
      <c r="G11" s="32"/>
      <c r="H11" s="61" t="str">
        <f aca="false">IFERROR(IF(AND(E11&lt;&gt;"",F11&lt;&gt;""),(F11-E11)*24-IF(G11&lt;&gt;"",G11,0),""),"")</f>
        <v/>
      </c>
      <c r="I11" s="62" t="str">
        <f aca="false">IFERROR(VLOOKUP(C11,①従業員マスタ!$A$4:$I$56,6,0),"")</f>
        <v/>
      </c>
      <c r="J11" s="61" t="str">
        <f aca="false">IFERROR(IF(AND(H11&lt;&gt;"",I11&lt;&gt;""),MAX(H11-I11,0),""),"")</f>
        <v/>
      </c>
      <c r="K11" s="30"/>
    </row>
    <row r="12" customFormat="false" ht="19.5" hidden="false" customHeight="true" outlineLevel="0" collapsed="false">
      <c r="A12" s="34"/>
      <c r="B12" s="55"/>
      <c r="C12" s="34"/>
      <c r="D12" s="48" t="str">
        <f aca="false">IFERROR(VLOOKUP(C12,①従業員マスタ!$A$4:$I$56,2,0),"")</f>
        <v/>
      </c>
      <c r="E12" s="56"/>
      <c r="F12" s="56"/>
      <c r="G12" s="36"/>
      <c r="H12" s="57" t="str">
        <f aca="false">IFERROR(IF(AND(E12&lt;&gt;"",F12&lt;&gt;""),(F12-E12)*24-IF(G12&lt;&gt;"",G12,0),""),"")</f>
        <v/>
      </c>
      <c r="I12" s="58" t="str">
        <f aca="false">IFERROR(VLOOKUP(C12,①従業員マスタ!$A$4:$I$56,6,0),"")</f>
        <v/>
      </c>
      <c r="J12" s="57" t="str">
        <f aca="false">IFERROR(IF(AND(H12&lt;&gt;"",I12&lt;&gt;""),MAX(H12-I12,0),""),"")</f>
        <v/>
      </c>
      <c r="K12" s="34"/>
    </row>
    <row r="13" customFormat="false" ht="19.5" hidden="false" customHeight="true" outlineLevel="0" collapsed="false">
      <c r="A13" s="30"/>
      <c r="B13" s="59"/>
      <c r="C13" s="30"/>
      <c r="D13" s="52" t="str">
        <f aca="false">IFERROR(VLOOKUP(C13,①従業員マスタ!$A$4:$I$56,2,0),"")</f>
        <v/>
      </c>
      <c r="E13" s="60"/>
      <c r="F13" s="60"/>
      <c r="G13" s="32"/>
      <c r="H13" s="61" t="str">
        <f aca="false">IFERROR(IF(AND(E13&lt;&gt;"",F13&lt;&gt;""),(F13-E13)*24-IF(G13&lt;&gt;"",G13,0),""),"")</f>
        <v/>
      </c>
      <c r="I13" s="62" t="str">
        <f aca="false">IFERROR(VLOOKUP(C13,①従業員マスタ!$A$4:$I$56,6,0),"")</f>
        <v/>
      </c>
      <c r="J13" s="61" t="str">
        <f aca="false">IFERROR(IF(AND(H13&lt;&gt;"",I13&lt;&gt;""),MAX(H13-I13,0),""),"")</f>
        <v/>
      </c>
      <c r="K13" s="30"/>
    </row>
    <row r="14" customFormat="false" ht="19.5" hidden="false" customHeight="true" outlineLevel="0" collapsed="false">
      <c r="A14" s="34"/>
      <c r="B14" s="55"/>
      <c r="C14" s="34"/>
      <c r="D14" s="48" t="str">
        <f aca="false">IFERROR(VLOOKUP(C14,①従業員マスタ!$A$4:$I$56,2,0),"")</f>
        <v/>
      </c>
      <c r="E14" s="56"/>
      <c r="F14" s="56"/>
      <c r="G14" s="36"/>
      <c r="H14" s="57" t="str">
        <f aca="false">IFERROR(IF(AND(E14&lt;&gt;"",F14&lt;&gt;""),(F14-E14)*24-IF(G14&lt;&gt;"",G14,0),""),"")</f>
        <v/>
      </c>
      <c r="I14" s="58" t="str">
        <f aca="false">IFERROR(VLOOKUP(C14,①従業員マスタ!$A$4:$I$56,6,0),"")</f>
        <v/>
      </c>
      <c r="J14" s="57" t="str">
        <f aca="false">IFERROR(IF(AND(H14&lt;&gt;"",I14&lt;&gt;""),MAX(H14-I14,0),""),"")</f>
        <v/>
      </c>
      <c r="K14" s="34"/>
    </row>
    <row r="15" customFormat="false" ht="19.5" hidden="false" customHeight="true" outlineLevel="0" collapsed="false">
      <c r="A15" s="30"/>
      <c r="B15" s="59"/>
      <c r="C15" s="30"/>
      <c r="D15" s="52" t="str">
        <f aca="false">IFERROR(VLOOKUP(C15,①従業員マスタ!$A$4:$I$56,2,0),"")</f>
        <v/>
      </c>
      <c r="E15" s="60"/>
      <c r="F15" s="60"/>
      <c r="G15" s="32"/>
      <c r="H15" s="61" t="str">
        <f aca="false">IFERROR(IF(AND(E15&lt;&gt;"",F15&lt;&gt;""),(F15-E15)*24-IF(G15&lt;&gt;"",G15,0),""),"")</f>
        <v/>
      </c>
      <c r="I15" s="62" t="str">
        <f aca="false">IFERROR(VLOOKUP(C15,①従業員マスタ!$A$4:$I$56,6,0),"")</f>
        <v/>
      </c>
      <c r="J15" s="61" t="str">
        <f aca="false">IFERROR(IF(AND(H15&lt;&gt;"",I15&lt;&gt;""),MAX(H15-I15,0),""),"")</f>
        <v/>
      </c>
      <c r="K15" s="30"/>
    </row>
    <row r="16" customFormat="false" ht="19.5" hidden="false" customHeight="true" outlineLevel="0" collapsed="false">
      <c r="A16" s="34"/>
      <c r="B16" s="55"/>
      <c r="C16" s="34"/>
      <c r="D16" s="48" t="str">
        <f aca="false">IFERROR(VLOOKUP(C16,①従業員マスタ!$A$4:$I$56,2,0),"")</f>
        <v/>
      </c>
      <c r="E16" s="56"/>
      <c r="F16" s="56"/>
      <c r="G16" s="36"/>
      <c r="H16" s="57" t="str">
        <f aca="false">IFERROR(IF(AND(E16&lt;&gt;"",F16&lt;&gt;""),(F16-E16)*24-IF(G16&lt;&gt;"",G16,0),""),"")</f>
        <v/>
      </c>
      <c r="I16" s="58" t="str">
        <f aca="false">IFERROR(VLOOKUP(C16,①従業員マスタ!$A$4:$I$56,6,0),"")</f>
        <v/>
      </c>
      <c r="J16" s="57" t="str">
        <f aca="false">IFERROR(IF(AND(H16&lt;&gt;"",I16&lt;&gt;""),MAX(H16-I16,0),""),"")</f>
        <v/>
      </c>
      <c r="K16" s="34"/>
    </row>
    <row r="17" customFormat="false" ht="19.5" hidden="false" customHeight="true" outlineLevel="0" collapsed="false">
      <c r="A17" s="30"/>
      <c r="B17" s="59"/>
      <c r="C17" s="30"/>
      <c r="D17" s="52" t="str">
        <f aca="false">IFERROR(VLOOKUP(C17,①従業員マスタ!$A$4:$I$56,2,0),"")</f>
        <v/>
      </c>
      <c r="E17" s="60"/>
      <c r="F17" s="60"/>
      <c r="G17" s="32"/>
      <c r="H17" s="61" t="str">
        <f aca="false">IFERROR(IF(AND(E17&lt;&gt;"",F17&lt;&gt;""),(F17-E17)*24-IF(G17&lt;&gt;"",G17,0),""),"")</f>
        <v/>
      </c>
      <c r="I17" s="62" t="str">
        <f aca="false">IFERROR(VLOOKUP(C17,①従業員マスタ!$A$4:$I$56,6,0),"")</f>
        <v/>
      </c>
      <c r="J17" s="61" t="str">
        <f aca="false">IFERROR(IF(AND(H17&lt;&gt;"",I17&lt;&gt;""),MAX(H17-I17,0),""),"")</f>
        <v/>
      </c>
      <c r="K17" s="30"/>
    </row>
    <row r="18" customFormat="false" ht="19.5" hidden="false" customHeight="true" outlineLevel="0" collapsed="false">
      <c r="A18" s="34"/>
      <c r="B18" s="55"/>
      <c r="C18" s="34"/>
      <c r="D18" s="48" t="str">
        <f aca="false">IFERROR(VLOOKUP(C18,①従業員マスタ!$A$4:$I$56,2,0),"")</f>
        <v/>
      </c>
      <c r="E18" s="56"/>
      <c r="F18" s="56"/>
      <c r="G18" s="36"/>
      <c r="H18" s="57" t="str">
        <f aca="false">IFERROR(IF(AND(E18&lt;&gt;"",F18&lt;&gt;""),(F18-E18)*24-IF(G18&lt;&gt;"",G18,0),""),"")</f>
        <v/>
      </c>
      <c r="I18" s="58" t="str">
        <f aca="false">IFERROR(VLOOKUP(C18,①従業員マスタ!$A$4:$I$56,6,0),"")</f>
        <v/>
      </c>
      <c r="J18" s="57" t="str">
        <f aca="false">IFERROR(IF(AND(H18&lt;&gt;"",I18&lt;&gt;""),MAX(H18-I18,0),""),"")</f>
        <v/>
      </c>
      <c r="K18" s="34"/>
    </row>
    <row r="19" customFormat="false" ht="19.5" hidden="false" customHeight="true" outlineLevel="0" collapsed="false">
      <c r="A19" s="30"/>
      <c r="B19" s="59"/>
      <c r="C19" s="30"/>
      <c r="D19" s="52" t="str">
        <f aca="false">IFERROR(VLOOKUP(C19,①従業員マスタ!$A$4:$I$56,2,0),"")</f>
        <v/>
      </c>
      <c r="E19" s="60"/>
      <c r="F19" s="60"/>
      <c r="G19" s="32"/>
      <c r="H19" s="61" t="str">
        <f aca="false">IFERROR(IF(AND(E19&lt;&gt;"",F19&lt;&gt;""),(F19-E19)*24-IF(G19&lt;&gt;"",G19,0),""),"")</f>
        <v/>
      </c>
      <c r="I19" s="62" t="str">
        <f aca="false">IFERROR(VLOOKUP(C19,①従業員マスタ!$A$4:$I$56,6,0),"")</f>
        <v/>
      </c>
      <c r="J19" s="61" t="str">
        <f aca="false">IFERROR(IF(AND(H19&lt;&gt;"",I19&lt;&gt;""),MAX(H19-I19,0),""),"")</f>
        <v/>
      </c>
      <c r="K19" s="30"/>
    </row>
    <row r="20" customFormat="false" ht="19.5" hidden="false" customHeight="true" outlineLevel="0" collapsed="false">
      <c r="A20" s="34"/>
      <c r="B20" s="55"/>
      <c r="C20" s="34"/>
      <c r="D20" s="48" t="str">
        <f aca="false">IFERROR(VLOOKUP(C20,①従業員マスタ!$A$4:$I$56,2,0),"")</f>
        <v/>
      </c>
      <c r="E20" s="56"/>
      <c r="F20" s="56"/>
      <c r="G20" s="36"/>
      <c r="H20" s="57" t="str">
        <f aca="false">IFERROR(IF(AND(E20&lt;&gt;"",F20&lt;&gt;""),(F20-E20)*24-IF(G20&lt;&gt;"",G20,0),""),"")</f>
        <v/>
      </c>
      <c r="I20" s="58" t="str">
        <f aca="false">IFERROR(VLOOKUP(C20,①従業員マスタ!$A$4:$I$56,6,0),"")</f>
        <v/>
      </c>
      <c r="J20" s="57" t="str">
        <f aca="false">IFERROR(IF(AND(H20&lt;&gt;"",I20&lt;&gt;""),MAX(H20-I20,0),""),"")</f>
        <v/>
      </c>
      <c r="K20" s="34"/>
    </row>
    <row r="21" customFormat="false" ht="19.5" hidden="false" customHeight="true" outlineLevel="0" collapsed="false">
      <c r="A21" s="30"/>
      <c r="B21" s="59"/>
      <c r="C21" s="30"/>
      <c r="D21" s="52" t="str">
        <f aca="false">IFERROR(VLOOKUP(C21,①従業員マスタ!$A$4:$I$56,2,0),"")</f>
        <v/>
      </c>
      <c r="E21" s="60"/>
      <c r="F21" s="60"/>
      <c r="G21" s="32"/>
      <c r="H21" s="61" t="str">
        <f aca="false">IFERROR(IF(AND(E21&lt;&gt;"",F21&lt;&gt;""),(F21-E21)*24-IF(G21&lt;&gt;"",G21,0),""),"")</f>
        <v/>
      </c>
      <c r="I21" s="62" t="str">
        <f aca="false">IFERROR(VLOOKUP(C21,①従業員マスタ!$A$4:$I$56,6,0),"")</f>
        <v/>
      </c>
      <c r="J21" s="61" t="str">
        <f aca="false">IFERROR(IF(AND(H21&lt;&gt;"",I21&lt;&gt;""),MAX(H21-I21,0),""),"")</f>
        <v/>
      </c>
      <c r="K21" s="30"/>
    </row>
    <row r="22" customFormat="false" ht="19.5" hidden="false" customHeight="true" outlineLevel="0" collapsed="false">
      <c r="A22" s="34"/>
      <c r="B22" s="55"/>
      <c r="C22" s="34"/>
      <c r="D22" s="48" t="str">
        <f aca="false">IFERROR(VLOOKUP(C22,①従業員マスタ!$A$4:$I$56,2,0),"")</f>
        <v/>
      </c>
      <c r="E22" s="56"/>
      <c r="F22" s="56"/>
      <c r="G22" s="36"/>
      <c r="H22" s="57" t="str">
        <f aca="false">IFERROR(IF(AND(E22&lt;&gt;"",F22&lt;&gt;""),(F22-E22)*24-IF(G22&lt;&gt;"",G22,0),""),"")</f>
        <v/>
      </c>
      <c r="I22" s="58" t="str">
        <f aca="false">IFERROR(VLOOKUP(C22,①従業員マスタ!$A$4:$I$56,6,0),"")</f>
        <v/>
      </c>
      <c r="J22" s="57" t="str">
        <f aca="false">IFERROR(IF(AND(H22&lt;&gt;"",I22&lt;&gt;""),MAX(H22-I22,0),""),"")</f>
        <v/>
      </c>
      <c r="K22" s="34"/>
    </row>
    <row r="23" customFormat="false" ht="19.5" hidden="false" customHeight="true" outlineLevel="0" collapsed="false">
      <c r="A23" s="30"/>
      <c r="B23" s="59"/>
      <c r="C23" s="30"/>
      <c r="D23" s="52" t="str">
        <f aca="false">IFERROR(VLOOKUP(C23,①従業員マスタ!$A$4:$I$56,2,0),"")</f>
        <v/>
      </c>
      <c r="E23" s="60"/>
      <c r="F23" s="60"/>
      <c r="G23" s="32"/>
      <c r="H23" s="61" t="str">
        <f aca="false">IFERROR(IF(AND(E23&lt;&gt;"",F23&lt;&gt;""),(F23-E23)*24-IF(G23&lt;&gt;"",G23,0),""),"")</f>
        <v/>
      </c>
      <c r="I23" s="62" t="str">
        <f aca="false">IFERROR(VLOOKUP(C23,①従業員マスタ!$A$4:$I$56,6,0),"")</f>
        <v/>
      </c>
      <c r="J23" s="61" t="str">
        <f aca="false">IFERROR(IF(AND(H23&lt;&gt;"",I23&lt;&gt;""),MAX(H23-I23,0),""),"")</f>
        <v/>
      </c>
      <c r="K23" s="30"/>
    </row>
    <row r="24" customFormat="false" ht="19.5" hidden="false" customHeight="true" outlineLevel="0" collapsed="false">
      <c r="A24" s="34"/>
      <c r="B24" s="55"/>
      <c r="C24" s="34"/>
      <c r="D24" s="48" t="str">
        <f aca="false">IFERROR(VLOOKUP(C24,①従業員マスタ!$A$4:$I$56,2,0),"")</f>
        <v/>
      </c>
      <c r="E24" s="56"/>
      <c r="F24" s="56"/>
      <c r="G24" s="36"/>
      <c r="H24" s="57" t="str">
        <f aca="false">IFERROR(IF(AND(E24&lt;&gt;"",F24&lt;&gt;""),(F24-E24)*24-IF(G24&lt;&gt;"",G24,0),""),"")</f>
        <v/>
      </c>
      <c r="I24" s="58" t="str">
        <f aca="false">IFERROR(VLOOKUP(C24,①従業員マスタ!$A$4:$I$56,6,0),"")</f>
        <v/>
      </c>
      <c r="J24" s="57" t="str">
        <f aca="false">IFERROR(IF(AND(H24&lt;&gt;"",I24&lt;&gt;""),MAX(H24-I24,0),""),"")</f>
        <v/>
      </c>
      <c r="K24" s="34"/>
    </row>
    <row r="25" customFormat="false" ht="19.5" hidden="false" customHeight="true" outlineLevel="0" collapsed="false">
      <c r="A25" s="30"/>
      <c r="B25" s="59"/>
      <c r="C25" s="30"/>
      <c r="D25" s="52" t="str">
        <f aca="false">IFERROR(VLOOKUP(C25,①従業員マスタ!$A$4:$I$56,2,0),"")</f>
        <v/>
      </c>
      <c r="E25" s="60"/>
      <c r="F25" s="60"/>
      <c r="G25" s="32"/>
      <c r="H25" s="61" t="str">
        <f aca="false">IFERROR(IF(AND(E25&lt;&gt;"",F25&lt;&gt;""),(F25-E25)*24-IF(G25&lt;&gt;"",G25,0),""),"")</f>
        <v/>
      </c>
      <c r="I25" s="62" t="str">
        <f aca="false">IFERROR(VLOOKUP(C25,①従業員マスタ!$A$4:$I$56,6,0),"")</f>
        <v/>
      </c>
      <c r="J25" s="61" t="str">
        <f aca="false">IFERROR(IF(AND(H25&lt;&gt;"",I25&lt;&gt;""),MAX(H25-I25,0),""),"")</f>
        <v/>
      </c>
      <c r="K25" s="30"/>
    </row>
    <row r="26" customFormat="false" ht="19.5" hidden="false" customHeight="true" outlineLevel="0" collapsed="false">
      <c r="A26" s="34"/>
      <c r="B26" s="55"/>
      <c r="C26" s="34"/>
      <c r="D26" s="48" t="str">
        <f aca="false">IFERROR(VLOOKUP(C26,①従業員マスタ!$A$4:$I$56,2,0),"")</f>
        <v/>
      </c>
      <c r="E26" s="56"/>
      <c r="F26" s="56"/>
      <c r="G26" s="36"/>
      <c r="H26" s="57" t="str">
        <f aca="false">IFERROR(IF(AND(E26&lt;&gt;"",F26&lt;&gt;""),(F26-E26)*24-IF(G26&lt;&gt;"",G26,0),""),"")</f>
        <v/>
      </c>
      <c r="I26" s="58" t="str">
        <f aca="false">IFERROR(VLOOKUP(C26,①従業員マスタ!$A$4:$I$56,6,0),"")</f>
        <v/>
      </c>
      <c r="J26" s="57" t="str">
        <f aca="false">IFERROR(IF(AND(H26&lt;&gt;"",I26&lt;&gt;""),MAX(H26-I26,0),""),"")</f>
        <v/>
      </c>
      <c r="K26" s="34"/>
    </row>
    <row r="27" customFormat="false" ht="19.5" hidden="false" customHeight="true" outlineLevel="0" collapsed="false">
      <c r="A27" s="30"/>
      <c r="B27" s="59"/>
      <c r="C27" s="30"/>
      <c r="D27" s="52" t="str">
        <f aca="false">IFERROR(VLOOKUP(C27,①従業員マスタ!$A$4:$I$56,2,0),"")</f>
        <v/>
      </c>
      <c r="E27" s="60"/>
      <c r="F27" s="60"/>
      <c r="G27" s="32"/>
      <c r="H27" s="61" t="str">
        <f aca="false">IFERROR(IF(AND(E27&lt;&gt;"",F27&lt;&gt;""),(F27-E27)*24-IF(G27&lt;&gt;"",G27,0),""),"")</f>
        <v/>
      </c>
      <c r="I27" s="62" t="str">
        <f aca="false">IFERROR(VLOOKUP(C27,①従業員マスタ!$A$4:$I$56,6,0),"")</f>
        <v/>
      </c>
      <c r="J27" s="61" t="str">
        <f aca="false">IFERROR(IF(AND(H27&lt;&gt;"",I27&lt;&gt;""),MAX(H27-I27,0),""),"")</f>
        <v/>
      </c>
      <c r="K27" s="30"/>
    </row>
    <row r="28" customFormat="false" ht="19.5" hidden="false" customHeight="true" outlineLevel="0" collapsed="false">
      <c r="A28" s="34"/>
      <c r="B28" s="55"/>
      <c r="C28" s="34"/>
      <c r="D28" s="48" t="str">
        <f aca="false">IFERROR(VLOOKUP(C28,①従業員マスタ!$A$4:$I$56,2,0),"")</f>
        <v/>
      </c>
      <c r="E28" s="56"/>
      <c r="F28" s="56"/>
      <c r="G28" s="36"/>
      <c r="H28" s="57" t="str">
        <f aca="false">IFERROR(IF(AND(E28&lt;&gt;"",F28&lt;&gt;""),(F28-E28)*24-IF(G28&lt;&gt;"",G28,0),""),"")</f>
        <v/>
      </c>
      <c r="I28" s="58" t="str">
        <f aca="false">IFERROR(VLOOKUP(C28,①従業員マスタ!$A$4:$I$56,6,0),"")</f>
        <v/>
      </c>
      <c r="J28" s="57" t="str">
        <f aca="false">IFERROR(IF(AND(H28&lt;&gt;"",I28&lt;&gt;""),MAX(H28-I28,0),""),"")</f>
        <v/>
      </c>
      <c r="K28" s="34"/>
    </row>
    <row r="29" customFormat="false" ht="19.5" hidden="false" customHeight="true" outlineLevel="0" collapsed="false">
      <c r="A29" s="30"/>
      <c r="B29" s="59"/>
      <c r="C29" s="30"/>
      <c r="D29" s="52" t="str">
        <f aca="false">IFERROR(VLOOKUP(C29,①従業員マスタ!$A$4:$I$56,2,0),"")</f>
        <v/>
      </c>
      <c r="E29" s="60"/>
      <c r="F29" s="60"/>
      <c r="G29" s="32"/>
      <c r="H29" s="61" t="str">
        <f aca="false">IFERROR(IF(AND(E29&lt;&gt;"",F29&lt;&gt;""),(F29-E29)*24-IF(G29&lt;&gt;"",G29,0),""),"")</f>
        <v/>
      </c>
      <c r="I29" s="62" t="str">
        <f aca="false">IFERROR(VLOOKUP(C29,①従業員マスタ!$A$4:$I$56,6,0),"")</f>
        <v/>
      </c>
      <c r="J29" s="61" t="str">
        <f aca="false">IFERROR(IF(AND(H29&lt;&gt;"",I29&lt;&gt;""),MAX(H29-I29,0),""),"")</f>
        <v/>
      </c>
      <c r="K29" s="30"/>
    </row>
    <row r="30" customFormat="false" ht="19.5" hidden="false" customHeight="true" outlineLevel="0" collapsed="false">
      <c r="A30" s="34"/>
      <c r="B30" s="55"/>
      <c r="C30" s="34"/>
      <c r="D30" s="48" t="str">
        <f aca="false">IFERROR(VLOOKUP(C30,①従業員マスタ!$A$4:$I$56,2,0),"")</f>
        <v/>
      </c>
      <c r="E30" s="56"/>
      <c r="F30" s="56"/>
      <c r="G30" s="36"/>
      <c r="H30" s="57" t="str">
        <f aca="false">IFERROR(IF(AND(E30&lt;&gt;"",F30&lt;&gt;""),(F30-E30)*24-IF(G30&lt;&gt;"",G30,0),""),"")</f>
        <v/>
      </c>
      <c r="I30" s="58" t="str">
        <f aca="false">IFERROR(VLOOKUP(C30,①従業員マスタ!$A$4:$I$56,6,0),"")</f>
        <v/>
      </c>
      <c r="J30" s="57" t="str">
        <f aca="false">IFERROR(IF(AND(H30&lt;&gt;"",I30&lt;&gt;""),MAX(H30-I30,0),""),"")</f>
        <v/>
      </c>
      <c r="K30" s="34"/>
    </row>
    <row r="31" customFormat="false" ht="19.5" hidden="false" customHeight="true" outlineLevel="0" collapsed="false">
      <c r="A31" s="30"/>
      <c r="B31" s="59"/>
      <c r="C31" s="30"/>
      <c r="D31" s="52" t="str">
        <f aca="false">IFERROR(VLOOKUP(C31,①従業員マスタ!$A$4:$I$56,2,0),"")</f>
        <v/>
      </c>
      <c r="E31" s="60"/>
      <c r="F31" s="60"/>
      <c r="G31" s="32"/>
      <c r="H31" s="61" t="str">
        <f aca="false">IFERROR(IF(AND(E31&lt;&gt;"",F31&lt;&gt;""),(F31-E31)*24-IF(G31&lt;&gt;"",G31,0),""),"")</f>
        <v/>
      </c>
      <c r="I31" s="62" t="str">
        <f aca="false">IFERROR(VLOOKUP(C31,①従業員マスタ!$A$4:$I$56,6,0),"")</f>
        <v/>
      </c>
      <c r="J31" s="61" t="str">
        <f aca="false">IFERROR(IF(AND(H31&lt;&gt;"",I31&lt;&gt;""),MAX(H31-I31,0),""),"")</f>
        <v/>
      </c>
      <c r="K31" s="30"/>
    </row>
    <row r="32" customFormat="false" ht="19.5" hidden="false" customHeight="true" outlineLevel="0" collapsed="false">
      <c r="A32" s="34"/>
      <c r="B32" s="55"/>
      <c r="C32" s="34"/>
      <c r="D32" s="48" t="str">
        <f aca="false">IFERROR(VLOOKUP(C32,①従業員マスタ!$A$4:$I$56,2,0),"")</f>
        <v/>
      </c>
      <c r="E32" s="56"/>
      <c r="F32" s="56"/>
      <c r="G32" s="36"/>
      <c r="H32" s="57" t="str">
        <f aca="false">IFERROR(IF(AND(E32&lt;&gt;"",F32&lt;&gt;""),(F32-E32)*24-IF(G32&lt;&gt;"",G32,0),""),"")</f>
        <v/>
      </c>
      <c r="I32" s="58" t="str">
        <f aca="false">IFERROR(VLOOKUP(C32,①従業員マスタ!$A$4:$I$56,6,0),"")</f>
        <v/>
      </c>
      <c r="J32" s="57" t="str">
        <f aca="false">IFERROR(IF(AND(H32&lt;&gt;"",I32&lt;&gt;""),MAX(H32-I32,0),""),"")</f>
        <v/>
      </c>
      <c r="K32" s="34"/>
    </row>
    <row r="33" customFormat="false" ht="19.5" hidden="false" customHeight="true" outlineLevel="0" collapsed="false">
      <c r="A33" s="30"/>
      <c r="B33" s="59"/>
      <c r="C33" s="30"/>
      <c r="D33" s="52" t="str">
        <f aca="false">IFERROR(VLOOKUP(C33,①従業員マスタ!$A$4:$I$56,2,0),"")</f>
        <v/>
      </c>
      <c r="E33" s="60"/>
      <c r="F33" s="60"/>
      <c r="G33" s="32"/>
      <c r="H33" s="61" t="str">
        <f aca="false">IFERROR(IF(AND(E33&lt;&gt;"",F33&lt;&gt;""),(F33-E33)*24-IF(G33&lt;&gt;"",G33,0),""),"")</f>
        <v/>
      </c>
      <c r="I33" s="62" t="str">
        <f aca="false">IFERROR(VLOOKUP(C33,①従業員マスタ!$A$4:$I$56,6,0),"")</f>
        <v/>
      </c>
      <c r="J33" s="61" t="str">
        <f aca="false">IFERROR(IF(AND(H33&lt;&gt;"",I33&lt;&gt;""),MAX(H33-I33,0),""),"")</f>
        <v/>
      </c>
      <c r="K33" s="30"/>
    </row>
    <row r="34" customFormat="false" ht="19.5" hidden="false" customHeight="true" outlineLevel="0" collapsed="false">
      <c r="A34" s="34"/>
      <c r="B34" s="55"/>
      <c r="C34" s="34"/>
      <c r="D34" s="48" t="str">
        <f aca="false">IFERROR(VLOOKUP(C34,①従業員マスタ!$A$4:$I$56,2,0),"")</f>
        <v/>
      </c>
      <c r="E34" s="56"/>
      <c r="F34" s="56"/>
      <c r="G34" s="36"/>
      <c r="H34" s="57" t="str">
        <f aca="false">IFERROR(IF(AND(E34&lt;&gt;"",F34&lt;&gt;""),(F34-E34)*24-IF(G34&lt;&gt;"",G34,0),""),"")</f>
        <v/>
      </c>
      <c r="I34" s="58" t="str">
        <f aca="false">IFERROR(VLOOKUP(C34,①従業員マスタ!$A$4:$I$56,6,0),"")</f>
        <v/>
      </c>
      <c r="J34" s="57" t="str">
        <f aca="false">IFERROR(IF(AND(H34&lt;&gt;"",I34&lt;&gt;""),MAX(H34-I34,0),""),"")</f>
        <v/>
      </c>
      <c r="K34" s="34"/>
    </row>
    <row r="35" customFormat="false" ht="19.5" hidden="false" customHeight="true" outlineLevel="0" collapsed="false">
      <c r="A35" s="30"/>
      <c r="B35" s="59"/>
      <c r="C35" s="30"/>
      <c r="D35" s="52" t="str">
        <f aca="false">IFERROR(VLOOKUP(C35,①従業員マスタ!$A$4:$I$56,2,0),"")</f>
        <v/>
      </c>
      <c r="E35" s="60"/>
      <c r="F35" s="60"/>
      <c r="G35" s="32"/>
      <c r="H35" s="61" t="str">
        <f aca="false">IFERROR(IF(AND(E35&lt;&gt;"",F35&lt;&gt;""),(F35-E35)*24-IF(G35&lt;&gt;"",G35,0),""),"")</f>
        <v/>
      </c>
      <c r="I35" s="62" t="str">
        <f aca="false">IFERROR(VLOOKUP(C35,①従業員マスタ!$A$4:$I$56,6,0),"")</f>
        <v/>
      </c>
      <c r="J35" s="61" t="str">
        <f aca="false">IFERROR(IF(AND(H35&lt;&gt;"",I35&lt;&gt;""),MAX(H35-I35,0),""),"")</f>
        <v/>
      </c>
      <c r="K35" s="30"/>
    </row>
    <row r="36" customFormat="false" ht="19.5" hidden="false" customHeight="true" outlineLevel="0" collapsed="false">
      <c r="A36" s="34"/>
      <c r="B36" s="55"/>
      <c r="C36" s="34"/>
      <c r="D36" s="48" t="str">
        <f aca="false">IFERROR(VLOOKUP(C36,①従業員マスタ!$A$4:$I$56,2,0),"")</f>
        <v/>
      </c>
      <c r="E36" s="56"/>
      <c r="F36" s="56"/>
      <c r="G36" s="36"/>
      <c r="H36" s="57" t="str">
        <f aca="false">IFERROR(IF(AND(E36&lt;&gt;"",F36&lt;&gt;""),(F36-E36)*24-IF(G36&lt;&gt;"",G36,0),""),"")</f>
        <v/>
      </c>
      <c r="I36" s="58" t="str">
        <f aca="false">IFERROR(VLOOKUP(C36,①従業員マスタ!$A$4:$I$56,6,0),"")</f>
        <v/>
      </c>
      <c r="J36" s="57" t="str">
        <f aca="false">IFERROR(IF(AND(H36&lt;&gt;"",I36&lt;&gt;""),MAX(H36-I36,0),""),"")</f>
        <v/>
      </c>
      <c r="K36" s="34"/>
    </row>
    <row r="37" customFormat="false" ht="19.5" hidden="false" customHeight="true" outlineLevel="0" collapsed="false">
      <c r="A37" s="30"/>
      <c r="B37" s="59"/>
      <c r="C37" s="30"/>
      <c r="D37" s="52" t="str">
        <f aca="false">IFERROR(VLOOKUP(C37,①従業員マスタ!$A$4:$I$56,2,0),"")</f>
        <v/>
      </c>
      <c r="E37" s="60"/>
      <c r="F37" s="60"/>
      <c r="G37" s="32"/>
      <c r="H37" s="61" t="str">
        <f aca="false">IFERROR(IF(AND(E37&lt;&gt;"",F37&lt;&gt;""),(F37-E37)*24-IF(G37&lt;&gt;"",G37,0),""),"")</f>
        <v/>
      </c>
      <c r="I37" s="62" t="str">
        <f aca="false">IFERROR(VLOOKUP(C37,①従業員マスタ!$A$4:$I$56,6,0),"")</f>
        <v/>
      </c>
      <c r="J37" s="61" t="str">
        <f aca="false">IFERROR(IF(AND(H37&lt;&gt;"",I37&lt;&gt;""),MAX(H37-I37,0),""),"")</f>
        <v/>
      </c>
      <c r="K37" s="30"/>
    </row>
    <row r="38" customFormat="false" ht="19.5" hidden="false" customHeight="true" outlineLevel="0" collapsed="false">
      <c r="A38" s="34"/>
      <c r="B38" s="55"/>
      <c r="C38" s="34"/>
      <c r="D38" s="48" t="str">
        <f aca="false">IFERROR(VLOOKUP(C38,①従業員マスタ!$A$4:$I$56,2,0),"")</f>
        <v/>
      </c>
      <c r="E38" s="56"/>
      <c r="F38" s="56"/>
      <c r="G38" s="36"/>
      <c r="H38" s="57" t="str">
        <f aca="false">IFERROR(IF(AND(E38&lt;&gt;"",F38&lt;&gt;""),(F38-E38)*24-IF(G38&lt;&gt;"",G38,0),""),"")</f>
        <v/>
      </c>
      <c r="I38" s="58" t="str">
        <f aca="false">IFERROR(VLOOKUP(C38,①従業員マスタ!$A$4:$I$56,6,0),"")</f>
        <v/>
      </c>
      <c r="J38" s="57" t="str">
        <f aca="false">IFERROR(IF(AND(H38&lt;&gt;"",I38&lt;&gt;""),MAX(H38-I38,0),""),"")</f>
        <v/>
      </c>
      <c r="K38" s="34"/>
    </row>
    <row r="39" customFormat="false" ht="19.5" hidden="false" customHeight="true" outlineLevel="0" collapsed="false">
      <c r="A39" s="30"/>
      <c r="B39" s="59"/>
      <c r="C39" s="30"/>
      <c r="D39" s="52" t="str">
        <f aca="false">IFERROR(VLOOKUP(C39,①従業員マスタ!$A$4:$I$56,2,0),"")</f>
        <v/>
      </c>
      <c r="E39" s="60"/>
      <c r="F39" s="60"/>
      <c r="G39" s="32"/>
      <c r="H39" s="61" t="str">
        <f aca="false">IFERROR(IF(AND(E39&lt;&gt;"",F39&lt;&gt;""),(F39-E39)*24-IF(G39&lt;&gt;"",G39,0),""),"")</f>
        <v/>
      </c>
      <c r="I39" s="62" t="str">
        <f aca="false">IFERROR(VLOOKUP(C39,①従業員マスタ!$A$4:$I$56,6,0),"")</f>
        <v/>
      </c>
      <c r="J39" s="61" t="str">
        <f aca="false">IFERROR(IF(AND(H39&lt;&gt;"",I39&lt;&gt;""),MAX(H39-I39,0),""),"")</f>
        <v/>
      </c>
      <c r="K39" s="30"/>
    </row>
    <row r="40" customFormat="false" ht="19.5" hidden="false" customHeight="true" outlineLevel="0" collapsed="false">
      <c r="A40" s="34"/>
      <c r="B40" s="55"/>
      <c r="C40" s="34"/>
      <c r="D40" s="48" t="str">
        <f aca="false">IFERROR(VLOOKUP(C40,①従業員マスタ!$A$4:$I$56,2,0),"")</f>
        <v/>
      </c>
      <c r="E40" s="56"/>
      <c r="F40" s="56"/>
      <c r="G40" s="36"/>
      <c r="H40" s="57" t="str">
        <f aca="false">IFERROR(IF(AND(E40&lt;&gt;"",F40&lt;&gt;""),(F40-E40)*24-IF(G40&lt;&gt;"",G40,0),""),"")</f>
        <v/>
      </c>
      <c r="I40" s="58" t="str">
        <f aca="false">IFERROR(VLOOKUP(C40,①従業員マスタ!$A$4:$I$56,6,0),"")</f>
        <v/>
      </c>
      <c r="J40" s="57" t="str">
        <f aca="false">IFERROR(IF(AND(H40&lt;&gt;"",I40&lt;&gt;""),MAX(H40-I40,0),""),"")</f>
        <v/>
      </c>
      <c r="K40" s="34"/>
    </row>
    <row r="41" customFormat="false" ht="19.5" hidden="false" customHeight="true" outlineLevel="0" collapsed="false">
      <c r="A41" s="30"/>
      <c r="B41" s="59"/>
      <c r="C41" s="30"/>
      <c r="D41" s="52" t="str">
        <f aca="false">IFERROR(VLOOKUP(C41,①従業員マスタ!$A$4:$I$56,2,0),"")</f>
        <v/>
      </c>
      <c r="E41" s="60"/>
      <c r="F41" s="60"/>
      <c r="G41" s="32"/>
      <c r="H41" s="61" t="str">
        <f aca="false">IFERROR(IF(AND(E41&lt;&gt;"",F41&lt;&gt;""),(F41-E41)*24-IF(G41&lt;&gt;"",G41,0),""),"")</f>
        <v/>
      </c>
      <c r="I41" s="62" t="str">
        <f aca="false">IFERROR(VLOOKUP(C41,①従業員マスタ!$A$4:$I$56,6,0),"")</f>
        <v/>
      </c>
      <c r="J41" s="61" t="str">
        <f aca="false">IFERROR(IF(AND(H41&lt;&gt;"",I41&lt;&gt;""),MAX(H41-I41,0),""),"")</f>
        <v/>
      </c>
      <c r="K41" s="30"/>
    </row>
    <row r="42" customFormat="false" ht="19.5" hidden="false" customHeight="true" outlineLevel="0" collapsed="false">
      <c r="A42" s="34"/>
      <c r="B42" s="55"/>
      <c r="C42" s="34"/>
      <c r="D42" s="48" t="str">
        <f aca="false">IFERROR(VLOOKUP(C42,①従業員マスタ!$A$4:$I$56,2,0),"")</f>
        <v/>
      </c>
      <c r="E42" s="56"/>
      <c r="F42" s="56"/>
      <c r="G42" s="36"/>
      <c r="H42" s="57" t="str">
        <f aca="false">IFERROR(IF(AND(E42&lt;&gt;"",F42&lt;&gt;""),(F42-E42)*24-IF(G42&lt;&gt;"",G42,0),""),"")</f>
        <v/>
      </c>
      <c r="I42" s="58" t="str">
        <f aca="false">IFERROR(VLOOKUP(C42,①従業員マスタ!$A$4:$I$56,6,0),"")</f>
        <v/>
      </c>
      <c r="J42" s="57" t="str">
        <f aca="false">IFERROR(IF(AND(H42&lt;&gt;"",I42&lt;&gt;""),MAX(H42-I42,0),""),"")</f>
        <v/>
      </c>
      <c r="K42" s="34"/>
    </row>
    <row r="43" customFormat="false" ht="19.5" hidden="false" customHeight="true" outlineLevel="0" collapsed="false">
      <c r="A43" s="30"/>
      <c r="B43" s="59"/>
      <c r="C43" s="30"/>
      <c r="D43" s="52" t="str">
        <f aca="false">IFERROR(VLOOKUP(C43,①従業員マスタ!$A$4:$I$56,2,0),"")</f>
        <v/>
      </c>
      <c r="E43" s="60"/>
      <c r="F43" s="60"/>
      <c r="G43" s="32"/>
      <c r="H43" s="61" t="str">
        <f aca="false">IFERROR(IF(AND(E43&lt;&gt;"",F43&lt;&gt;""),(F43-E43)*24-IF(G43&lt;&gt;"",G43,0),""),"")</f>
        <v/>
      </c>
      <c r="I43" s="62" t="str">
        <f aca="false">IFERROR(VLOOKUP(C43,①従業員マスタ!$A$4:$I$56,6,0),"")</f>
        <v/>
      </c>
      <c r="J43" s="61" t="str">
        <f aca="false">IFERROR(IF(AND(H43&lt;&gt;"",I43&lt;&gt;""),MAX(H43-I43,0),""),"")</f>
        <v/>
      </c>
      <c r="K43" s="30"/>
    </row>
    <row r="44" customFormat="false" ht="19.5" hidden="false" customHeight="true" outlineLevel="0" collapsed="false">
      <c r="A44" s="34"/>
      <c r="B44" s="55"/>
      <c r="C44" s="34"/>
      <c r="D44" s="48" t="str">
        <f aca="false">IFERROR(VLOOKUP(C44,①従業員マスタ!$A$4:$I$56,2,0),"")</f>
        <v/>
      </c>
      <c r="E44" s="56"/>
      <c r="F44" s="56"/>
      <c r="G44" s="36"/>
      <c r="H44" s="57" t="str">
        <f aca="false">IFERROR(IF(AND(E44&lt;&gt;"",F44&lt;&gt;""),(F44-E44)*24-IF(G44&lt;&gt;"",G44,0),""),"")</f>
        <v/>
      </c>
      <c r="I44" s="58" t="str">
        <f aca="false">IFERROR(VLOOKUP(C44,①従業員マスタ!$A$4:$I$56,6,0),"")</f>
        <v/>
      </c>
      <c r="J44" s="57" t="str">
        <f aca="false">IFERROR(IF(AND(H44&lt;&gt;"",I44&lt;&gt;""),MAX(H44-I44,0),""),"")</f>
        <v/>
      </c>
      <c r="K44" s="34"/>
    </row>
    <row r="45" customFormat="false" ht="19.5" hidden="false" customHeight="true" outlineLevel="0" collapsed="false">
      <c r="A45" s="30"/>
      <c r="B45" s="59"/>
      <c r="C45" s="30"/>
      <c r="D45" s="52" t="str">
        <f aca="false">IFERROR(VLOOKUP(C45,①従業員マスタ!$A$4:$I$56,2,0),"")</f>
        <v/>
      </c>
      <c r="E45" s="60"/>
      <c r="F45" s="60"/>
      <c r="G45" s="32"/>
      <c r="H45" s="61" t="str">
        <f aca="false">IFERROR(IF(AND(E45&lt;&gt;"",F45&lt;&gt;""),(F45-E45)*24-IF(G45&lt;&gt;"",G45,0),""),"")</f>
        <v/>
      </c>
      <c r="I45" s="62" t="str">
        <f aca="false">IFERROR(VLOOKUP(C45,①従業員マスタ!$A$4:$I$56,6,0),"")</f>
        <v/>
      </c>
      <c r="J45" s="61" t="str">
        <f aca="false">IFERROR(IF(AND(H45&lt;&gt;"",I45&lt;&gt;""),MAX(H45-I45,0),""),"")</f>
        <v/>
      </c>
      <c r="K45" s="30"/>
    </row>
    <row r="46" customFormat="false" ht="19.5" hidden="false" customHeight="true" outlineLevel="0" collapsed="false">
      <c r="A46" s="34"/>
      <c r="B46" s="55"/>
      <c r="C46" s="34"/>
      <c r="D46" s="48" t="str">
        <f aca="false">IFERROR(VLOOKUP(C46,①従業員マスタ!$A$4:$I$56,2,0),"")</f>
        <v/>
      </c>
      <c r="E46" s="56"/>
      <c r="F46" s="56"/>
      <c r="G46" s="36"/>
      <c r="H46" s="57" t="str">
        <f aca="false">IFERROR(IF(AND(E46&lt;&gt;"",F46&lt;&gt;""),(F46-E46)*24-IF(G46&lt;&gt;"",G46,0),""),"")</f>
        <v/>
      </c>
      <c r="I46" s="58" t="str">
        <f aca="false">IFERROR(VLOOKUP(C46,①従業員マスタ!$A$4:$I$56,6,0),"")</f>
        <v/>
      </c>
      <c r="J46" s="57" t="str">
        <f aca="false">IFERROR(IF(AND(H46&lt;&gt;"",I46&lt;&gt;""),MAX(H46-I46,0),""),"")</f>
        <v/>
      </c>
      <c r="K46" s="34"/>
    </row>
    <row r="47" customFormat="false" ht="19.5" hidden="false" customHeight="true" outlineLevel="0" collapsed="false">
      <c r="A47" s="30"/>
      <c r="B47" s="59"/>
      <c r="C47" s="30"/>
      <c r="D47" s="52" t="str">
        <f aca="false">IFERROR(VLOOKUP(C47,①従業員マスタ!$A$4:$I$56,2,0),"")</f>
        <v/>
      </c>
      <c r="E47" s="60"/>
      <c r="F47" s="60"/>
      <c r="G47" s="32"/>
      <c r="H47" s="61" t="str">
        <f aca="false">IFERROR(IF(AND(E47&lt;&gt;"",F47&lt;&gt;""),(F47-E47)*24-IF(G47&lt;&gt;"",G47,0),""),"")</f>
        <v/>
      </c>
      <c r="I47" s="62" t="str">
        <f aca="false">IFERROR(VLOOKUP(C47,①従業員マスタ!$A$4:$I$56,6,0),"")</f>
        <v/>
      </c>
      <c r="J47" s="61" t="str">
        <f aca="false">IFERROR(IF(AND(H47&lt;&gt;"",I47&lt;&gt;""),MAX(H47-I47,0),""),"")</f>
        <v/>
      </c>
      <c r="K47" s="30"/>
    </row>
    <row r="48" customFormat="false" ht="19.5" hidden="false" customHeight="true" outlineLevel="0" collapsed="false">
      <c r="A48" s="34"/>
      <c r="B48" s="55"/>
      <c r="C48" s="34"/>
      <c r="D48" s="48" t="str">
        <f aca="false">IFERROR(VLOOKUP(C48,①従業員マスタ!$A$4:$I$56,2,0),"")</f>
        <v/>
      </c>
      <c r="E48" s="56"/>
      <c r="F48" s="56"/>
      <c r="G48" s="36"/>
      <c r="H48" s="57" t="str">
        <f aca="false">IFERROR(IF(AND(E48&lt;&gt;"",F48&lt;&gt;""),(F48-E48)*24-IF(G48&lt;&gt;"",G48,0),""),"")</f>
        <v/>
      </c>
      <c r="I48" s="58" t="str">
        <f aca="false">IFERROR(VLOOKUP(C48,①従業員マスタ!$A$4:$I$56,6,0),"")</f>
        <v/>
      </c>
      <c r="J48" s="57" t="str">
        <f aca="false">IFERROR(IF(AND(H48&lt;&gt;"",I48&lt;&gt;""),MAX(H48-I48,0),""),"")</f>
        <v/>
      </c>
      <c r="K48" s="34"/>
    </row>
    <row r="49" customFormat="false" ht="19.5" hidden="false" customHeight="true" outlineLevel="0" collapsed="false">
      <c r="A49" s="30"/>
      <c r="B49" s="59"/>
      <c r="C49" s="30"/>
      <c r="D49" s="52" t="str">
        <f aca="false">IFERROR(VLOOKUP(C49,①従業員マスタ!$A$4:$I$56,2,0),"")</f>
        <v/>
      </c>
      <c r="E49" s="60"/>
      <c r="F49" s="60"/>
      <c r="G49" s="32"/>
      <c r="H49" s="61" t="str">
        <f aca="false">IFERROR(IF(AND(E49&lt;&gt;"",F49&lt;&gt;""),(F49-E49)*24-IF(G49&lt;&gt;"",G49,0),""),"")</f>
        <v/>
      </c>
      <c r="I49" s="62" t="str">
        <f aca="false">IFERROR(VLOOKUP(C49,①従業員マスタ!$A$4:$I$56,6,0),"")</f>
        <v/>
      </c>
      <c r="J49" s="61" t="str">
        <f aca="false">IFERROR(IF(AND(H49&lt;&gt;"",I49&lt;&gt;""),MAX(H49-I49,0),""),"")</f>
        <v/>
      </c>
      <c r="K49" s="30"/>
    </row>
    <row r="50" customFormat="false" ht="19.5" hidden="false" customHeight="true" outlineLevel="0" collapsed="false">
      <c r="A50" s="34"/>
      <c r="B50" s="55"/>
      <c r="C50" s="34"/>
      <c r="D50" s="48" t="str">
        <f aca="false">IFERROR(VLOOKUP(C50,①従業員マスタ!$A$4:$I$56,2,0),"")</f>
        <v/>
      </c>
      <c r="E50" s="56"/>
      <c r="F50" s="56"/>
      <c r="G50" s="36"/>
      <c r="H50" s="57" t="str">
        <f aca="false">IFERROR(IF(AND(E50&lt;&gt;"",F50&lt;&gt;""),(F50-E50)*24-IF(G50&lt;&gt;"",G50,0),""),"")</f>
        <v/>
      </c>
      <c r="I50" s="58" t="str">
        <f aca="false">IFERROR(VLOOKUP(C50,①従業員マスタ!$A$4:$I$56,6,0),"")</f>
        <v/>
      </c>
      <c r="J50" s="57" t="str">
        <f aca="false">IFERROR(IF(AND(H50&lt;&gt;"",I50&lt;&gt;""),MAX(H50-I50,0),""),"")</f>
        <v/>
      </c>
      <c r="K50" s="34"/>
    </row>
    <row r="51" customFormat="false" ht="19.5" hidden="false" customHeight="true" outlineLevel="0" collapsed="false">
      <c r="A51" s="30"/>
      <c r="B51" s="59"/>
      <c r="C51" s="30"/>
      <c r="D51" s="52" t="str">
        <f aca="false">IFERROR(VLOOKUP(C51,①従業員マスタ!$A$4:$I$56,2,0),"")</f>
        <v/>
      </c>
      <c r="E51" s="60"/>
      <c r="F51" s="60"/>
      <c r="G51" s="32"/>
      <c r="H51" s="61" t="str">
        <f aca="false">IFERROR(IF(AND(E51&lt;&gt;"",F51&lt;&gt;""),(F51-E51)*24-IF(G51&lt;&gt;"",G51,0),""),"")</f>
        <v/>
      </c>
      <c r="I51" s="62" t="str">
        <f aca="false">IFERROR(VLOOKUP(C51,①従業員マスタ!$A$4:$I$56,6,0),"")</f>
        <v/>
      </c>
      <c r="J51" s="61" t="str">
        <f aca="false">IFERROR(IF(AND(H51&lt;&gt;"",I51&lt;&gt;""),MAX(H51-I51,0),""),"")</f>
        <v/>
      </c>
      <c r="K51" s="30"/>
    </row>
    <row r="52" customFormat="false" ht="19.5" hidden="false" customHeight="true" outlineLevel="0" collapsed="false">
      <c r="A52" s="34"/>
      <c r="B52" s="55"/>
      <c r="C52" s="34"/>
      <c r="D52" s="48" t="str">
        <f aca="false">IFERROR(VLOOKUP(C52,①従業員マスタ!$A$4:$I$56,2,0),"")</f>
        <v/>
      </c>
      <c r="E52" s="56"/>
      <c r="F52" s="56"/>
      <c r="G52" s="36"/>
      <c r="H52" s="57" t="str">
        <f aca="false">IFERROR(IF(AND(E52&lt;&gt;"",F52&lt;&gt;""),(F52-E52)*24-IF(G52&lt;&gt;"",G52,0),""),"")</f>
        <v/>
      </c>
      <c r="I52" s="58" t="str">
        <f aca="false">IFERROR(VLOOKUP(C52,①従業員マスタ!$A$4:$I$56,6,0),"")</f>
        <v/>
      </c>
      <c r="J52" s="57" t="str">
        <f aca="false">IFERROR(IF(AND(H52&lt;&gt;"",I52&lt;&gt;""),MAX(H52-I52,0),""),"")</f>
        <v/>
      </c>
      <c r="K52" s="34"/>
    </row>
    <row r="53" customFormat="false" ht="19.5" hidden="false" customHeight="true" outlineLevel="0" collapsed="false">
      <c r="A53" s="30"/>
      <c r="B53" s="59"/>
      <c r="C53" s="30"/>
      <c r="D53" s="52" t="str">
        <f aca="false">IFERROR(VLOOKUP(C53,①従業員マスタ!$A$4:$I$56,2,0),"")</f>
        <v/>
      </c>
      <c r="E53" s="60"/>
      <c r="F53" s="60"/>
      <c r="G53" s="32"/>
      <c r="H53" s="61" t="str">
        <f aca="false">IFERROR(IF(AND(E53&lt;&gt;"",F53&lt;&gt;""),(F53-E53)*24-IF(G53&lt;&gt;"",G53,0),""),"")</f>
        <v/>
      </c>
      <c r="I53" s="62" t="str">
        <f aca="false">IFERROR(VLOOKUP(C53,①従業員マスタ!$A$4:$I$56,6,0),"")</f>
        <v/>
      </c>
      <c r="J53" s="61" t="str">
        <f aca="false">IFERROR(IF(AND(H53&lt;&gt;"",I53&lt;&gt;""),MAX(H53-I53,0),""),"")</f>
        <v/>
      </c>
      <c r="K53" s="30"/>
    </row>
    <row r="54" customFormat="false" ht="19.5" hidden="false" customHeight="true" outlineLevel="0" collapsed="false">
      <c r="A54" s="34"/>
      <c r="B54" s="55"/>
      <c r="C54" s="34"/>
      <c r="D54" s="48" t="str">
        <f aca="false">IFERROR(VLOOKUP(C54,①従業員マスタ!$A$4:$I$56,2,0),"")</f>
        <v/>
      </c>
      <c r="E54" s="56"/>
      <c r="F54" s="56"/>
      <c r="G54" s="36"/>
      <c r="H54" s="57" t="str">
        <f aca="false">IFERROR(IF(AND(E54&lt;&gt;"",F54&lt;&gt;""),(F54-E54)*24-IF(G54&lt;&gt;"",G54,0),""),"")</f>
        <v/>
      </c>
      <c r="I54" s="58" t="str">
        <f aca="false">IFERROR(VLOOKUP(C54,①従業員マスタ!$A$4:$I$56,6,0),"")</f>
        <v/>
      </c>
      <c r="J54" s="57" t="str">
        <f aca="false">IFERROR(IF(AND(H54&lt;&gt;"",I54&lt;&gt;""),MAX(H54-I54,0),""),"")</f>
        <v/>
      </c>
      <c r="K54" s="34"/>
    </row>
    <row r="55" customFormat="false" ht="19.5" hidden="false" customHeight="true" outlineLevel="0" collapsed="false">
      <c r="A55" s="30"/>
      <c r="B55" s="59"/>
      <c r="C55" s="30"/>
      <c r="D55" s="52" t="str">
        <f aca="false">IFERROR(VLOOKUP(C55,①従業員マスタ!$A$4:$I$56,2,0),"")</f>
        <v/>
      </c>
      <c r="E55" s="60"/>
      <c r="F55" s="60"/>
      <c r="G55" s="32"/>
      <c r="H55" s="61" t="str">
        <f aca="false">IFERROR(IF(AND(E55&lt;&gt;"",F55&lt;&gt;""),(F55-E55)*24-IF(G55&lt;&gt;"",G55,0),""),"")</f>
        <v/>
      </c>
      <c r="I55" s="62" t="str">
        <f aca="false">IFERROR(VLOOKUP(C55,①従業員マスタ!$A$4:$I$56,6,0),"")</f>
        <v/>
      </c>
      <c r="J55" s="61" t="str">
        <f aca="false">IFERROR(IF(AND(H55&lt;&gt;"",I55&lt;&gt;""),MAX(H55-I55,0),""),"")</f>
        <v/>
      </c>
      <c r="K55" s="30"/>
    </row>
    <row r="56" customFormat="false" ht="19.5" hidden="false" customHeight="true" outlineLevel="0" collapsed="false">
      <c r="A56" s="34"/>
      <c r="B56" s="55"/>
      <c r="C56" s="34"/>
      <c r="D56" s="48" t="str">
        <f aca="false">IFERROR(VLOOKUP(C56,①従業員マスタ!$A$4:$I$56,2,0),"")</f>
        <v/>
      </c>
      <c r="E56" s="56"/>
      <c r="F56" s="56"/>
      <c r="G56" s="36"/>
      <c r="H56" s="57" t="str">
        <f aca="false">IFERROR(IF(AND(E56&lt;&gt;"",F56&lt;&gt;""),(F56-E56)*24-IF(G56&lt;&gt;"",G56,0),""),"")</f>
        <v/>
      </c>
      <c r="I56" s="58" t="str">
        <f aca="false">IFERROR(VLOOKUP(C56,①従業員マスタ!$A$4:$I$56,6,0),"")</f>
        <v/>
      </c>
      <c r="J56" s="57" t="str">
        <f aca="false">IFERROR(IF(AND(H56&lt;&gt;"",I56&lt;&gt;""),MAX(H56-I56,0),""),"")</f>
        <v/>
      </c>
      <c r="K56" s="34"/>
    </row>
    <row r="57" customFormat="false" ht="19.5" hidden="false" customHeight="true" outlineLevel="0" collapsed="false">
      <c r="A57" s="30"/>
      <c r="B57" s="59"/>
      <c r="C57" s="30"/>
      <c r="D57" s="52" t="str">
        <f aca="false">IFERROR(VLOOKUP(C57,①従業員マスタ!$A$4:$I$56,2,0),"")</f>
        <v/>
      </c>
      <c r="E57" s="60"/>
      <c r="F57" s="60"/>
      <c r="G57" s="32"/>
      <c r="H57" s="61" t="str">
        <f aca="false">IFERROR(IF(AND(E57&lt;&gt;"",F57&lt;&gt;""),(F57-E57)*24-IF(G57&lt;&gt;"",G57,0),""),"")</f>
        <v/>
      </c>
      <c r="I57" s="62" t="str">
        <f aca="false">IFERROR(VLOOKUP(C57,①従業員マスタ!$A$4:$I$56,6,0),"")</f>
        <v/>
      </c>
      <c r="J57" s="61" t="str">
        <f aca="false">IFERROR(IF(AND(H57&lt;&gt;"",I57&lt;&gt;""),MAX(H57-I57,0),""),"")</f>
        <v/>
      </c>
      <c r="K57" s="30"/>
    </row>
    <row r="58" customFormat="false" ht="19.5" hidden="false" customHeight="true" outlineLevel="0" collapsed="false">
      <c r="A58" s="34"/>
      <c r="B58" s="55"/>
      <c r="C58" s="34"/>
      <c r="D58" s="48" t="str">
        <f aca="false">IFERROR(VLOOKUP(C58,①従業員マスタ!$A$4:$I$56,2,0),"")</f>
        <v/>
      </c>
      <c r="E58" s="56"/>
      <c r="F58" s="56"/>
      <c r="G58" s="36"/>
      <c r="H58" s="57" t="str">
        <f aca="false">IFERROR(IF(AND(E58&lt;&gt;"",F58&lt;&gt;""),(F58-E58)*24-IF(G58&lt;&gt;"",G58,0),""),"")</f>
        <v/>
      </c>
      <c r="I58" s="58" t="str">
        <f aca="false">IFERROR(VLOOKUP(C58,①従業員マスタ!$A$4:$I$56,6,0),"")</f>
        <v/>
      </c>
      <c r="J58" s="57" t="str">
        <f aca="false">IFERROR(IF(AND(H58&lt;&gt;"",I58&lt;&gt;""),MAX(H58-I58,0),""),"")</f>
        <v/>
      </c>
      <c r="K58" s="34"/>
    </row>
    <row r="59" customFormat="false" ht="19.5" hidden="false" customHeight="true" outlineLevel="0" collapsed="false">
      <c r="A59" s="30"/>
      <c r="B59" s="59"/>
      <c r="C59" s="30"/>
      <c r="D59" s="52" t="str">
        <f aca="false">IFERROR(VLOOKUP(C59,①従業員マスタ!$A$4:$I$56,2,0),"")</f>
        <v/>
      </c>
      <c r="E59" s="60"/>
      <c r="F59" s="60"/>
      <c r="G59" s="32"/>
      <c r="H59" s="61" t="str">
        <f aca="false">IFERROR(IF(AND(E59&lt;&gt;"",F59&lt;&gt;""),(F59-E59)*24-IF(G59&lt;&gt;"",G59,0),""),"")</f>
        <v/>
      </c>
      <c r="I59" s="62" t="str">
        <f aca="false">IFERROR(VLOOKUP(C59,①従業員マスタ!$A$4:$I$56,6,0),"")</f>
        <v/>
      </c>
      <c r="J59" s="61" t="str">
        <f aca="false">IFERROR(IF(AND(H59&lt;&gt;"",I59&lt;&gt;""),MAX(H59-I59,0),""),"")</f>
        <v/>
      </c>
      <c r="K59" s="30"/>
    </row>
    <row r="60" customFormat="false" ht="19.5" hidden="false" customHeight="true" outlineLevel="0" collapsed="false">
      <c r="A60" s="34"/>
      <c r="B60" s="55"/>
      <c r="C60" s="34"/>
      <c r="D60" s="48" t="str">
        <f aca="false">IFERROR(VLOOKUP(C60,①従業員マスタ!$A$4:$I$56,2,0),"")</f>
        <v/>
      </c>
      <c r="E60" s="56"/>
      <c r="F60" s="56"/>
      <c r="G60" s="36"/>
      <c r="H60" s="57" t="str">
        <f aca="false">IFERROR(IF(AND(E60&lt;&gt;"",F60&lt;&gt;""),(F60-E60)*24-IF(G60&lt;&gt;"",G60,0),""),"")</f>
        <v/>
      </c>
      <c r="I60" s="58" t="str">
        <f aca="false">IFERROR(VLOOKUP(C60,①従業員マスタ!$A$4:$I$56,6,0),"")</f>
        <v/>
      </c>
      <c r="J60" s="57" t="str">
        <f aca="false">IFERROR(IF(AND(H60&lt;&gt;"",I60&lt;&gt;""),MAX(H60-I60,0),""),"")</f>
        <v/>
      </c>
      <c r="K60" s="34"/>
    </row>
    <row r="61" customFormat="false" ht="19.5" hidden="false" customHeight="true" outlineLevel="0" collapsed="false">
      <c r="A61" s="30"/>
      <c r="B61" s="59"/>
      <c r="C61" s="30"/>
      <c r="D61" s="52" t="str">
        <f aca="false">IFERROR(VLOOKUP(C61,①従業員マスタ!$A$4:$I$56,2,0),"")</f>
        <v/>
      </c>
      <c r="E61" s="60"/>
      <c r="F61" s="60"/>
      <c r="G61" s="32"/>
      <c r="H61" s="61" t="str">
        <f aca="false">IFERROR(IF(AND(E61&lt;&gt;"",F61&lt;&gt;""),(F61-E61)*24-IF(G61&lt;&gt;"",G61,0),""),"")</f>
        <v/>
      </c>
      <c r="I61" s="62" t="str">
        <f aca="false">IFERROR(VLOOKUP(C61,①従業員マスタ!$A$4:$I$56,6,0),"")</f>
        <v/>
      </c>
      <c r="J61" s="61" t="str">
        <f aca="false">IFERROR(IF(AND(H61&lt;&gt;"",I61&lt;&gt;""),MAX(H61-I61,0),""),"")</f>
        <v/>
      </c>
      <c r="K61" s="30"/>
    </row>
    <row r="62" customFormat="false" ht="19.5" hidden="false" customHeight="true" outlineLevel="0" collapsed="false">
      <c r="A62" s="34"/>
      <c r="B62" s="55"/>
      <c r="C62" s="34"/>
      <c r="D62" s="48" t="str">
        <f aca="false">IFERROR(VLOOKUP(C62,①従業員マスタ!$A$4:$I$56,2,0),"")</f>
        <v/>
      </c>
      <c r="E62" s="56"/>
      <c r="F62" s="56"/>
      <c r="G62" s="36"/>
      <c r="H62" s="57" t="str">
        <f aca="false">IFERROR(IF(AND(E62&lt;&gt;"",F62&lt;&gt;""),(F62-E62)*24-IF(G62&lt;&gt;"",G62,0),""),"")</f>
        <v/>
      </c>
      <c r="I62" s="58" t="str">
        <f aca="false">IFERROR(VLOOKUP(C62,①従業員マスタ!$A$4:$I$56,6,0),"")</f>
        <v/>
      </c>
      <c r="J62" s="57" t="str">
        <f aca="false">IFERROR(IF(AND(H62&lt;&gt;"",I62&lt;&gt;""),MAX(H62-I62,0),""),"")</f>
        <v/>
      </c>
      <c r="K62" s="34"/>
    </row>
    <row r="63" customFormat="false" ht="19.5" hidden="false" customHeight="true" outlineLevel="0" collapsed="false">
      <c r="A63" s="30"/>
      <c r="B63" s="59"/>
      <c r="C63" s="30"/>
      <c r="D63" s="52" t="str">
        <f aca="false">IFERROR(VLOOKUP(C63,①従業員マスタ!$A$4:$I$56,2,0),"")</f>
        <v/>
      </c>
      <c r="E63" s="60"/>
      <c r="F63" s="60"/>
      <c r="G63" s="32"/>
      <c r="H63" s="61" t="str">
        <f aca="false">IFERROR(IF(AND(E63&lt;&gt;"",F63&lt;&gt;""),(F63-E63)*24-IF(G63&lt;&gt;"",G63,0),""),"")</f>
        <v/>
      </c>
      <c r="I63" s="62" t="str">
        <f aca="false">IFERROR(VLOOKUP(C63,①従業員マスタ!$A$4:$I$56,6,0),"")</f>
        <v/>
      </c>
      <c r="J63" s="61" t="str">
        <f aca="false">IFERROR(IF(AND(H63&lt;&gt;"",I63&lt;&gt;""),MAX(H63-I63,0),""),"")</f>
        <v/>
      </c>
      <c r="K63" s="30"/>
    </row>
    <row r="64" customFormat="false" ht="19.5" hidden="false" customHeight="true" outlineLevel="0" collapsed="false">
      <c r="A64" s="34"/>
      <c r="B64" s="55"/>
      <c r="C64" s="34"/>
      <c r="D64" s="48" t="str">
        <f aca="false">IFERROR(VLOOKUP(C64,①従業員マスタ!$A$4:$I$56,2,0),"")</f>
        <v/>
      </c>
      <c r="E64" s="56"/>
      <c r="F64" s="56"/>
      <c r="G64" s="36"/>
      <c r="H64" s="57" t="str">
        <f aca="false">IFERROR(IF(AND(E64&lt;&gt;"",F64&lt;&gt;""),(F64-E64)*24-IF(G64&lt;&gt;"",G64,0),""),"")</f>
        <v/>
      </c>
      <c r="I64" s="58" t="str">
        <f aca="false">IFERROR(VLOOKUP(C64,①従業員マスタ!$A$4:$I$56,6,0),"")</f>
        <v/>
      </c>
      <c r="J64" s="57" t="str">
        <f aca="false">IFERROR(IF(AND(H64&lt;&gt;"",I64&lt;&gt;""),MAX(H64-I64,0),""),"")</f>
        <v/>
      </c>
      <c r="K64" s="34"/>
    </row>
    <row r="65" customFormat="false" ht="19.5" hidden="false" customHeight="true" outlineLevel="0" collapsed="false">
      <c r="A65" s="30"/>
      <c r="B65" s="59"/>
      <c r="C65" s="30"/>
      <c r="D65" s="52" t="str">
        <f aca="false">IFERROR(VLOOKUP(C65,①従業員マスタ!$A$4:$I$56,2,0),"")</f>
        <v/>
      </c>
      <c r="E65" s="60"/>
      <c r="F65" s="60"/>
      <c r="G65" s="32"/>
      <c r="H65" s="61" t="str">
        <f aca="false">IFERROR(IF(AND(E65&lt;&gt;"",F65&lt;&gt;""),(F65-E65)*24-IF(G65&lt;&gt;"",G65,0),""),"")</f>
        <v/>
      </c>
      <c r="I65" s="62" t="str">
        <f aca="false">IFERROR(VLOOKUP(C65,①従業員マスタ!$A$4:$I$56,6,0),"")</f>
        <v/>
      </c>
      <c r="J65" s="61" t="str">
        <f aca="false">IFERROR(IF(AND(H65&lt;&gt;"",I65&lt;&gt;""),MAX(H65-I65,0),""),"")</f>
        <v/>
      </c>
      <c r="K65" s="30"/>
    </row>
    <row r="66" customFormat="false" ht="19.5" hidden="false" customHeight="true" outlineLevel="0" collapsed="false">
      <c r="A66" s="34"/>
      <c r="B66" s="55"/>
      <c r="C66" s="34"/>
      <c r="D66" s="48" t="str">
        <f aca="false">IFERROR(VLOOKUP(C66,①従業員マスタ!$A$4:$I$56,2,0),"")</f>
        <v/>
      </c>
      <c r="E66" s="56"/>
      <c r="F66" s="56"/>
      <c r="G66" s="36"/>
      <c r="H66" s="57" t="str">
        <f aca="false">IFERROR(IF(AND(E66&lt;&gt;"",F66&lt;&gt;""),(F66-E66)*24-IF(G66&lt;&gt;"",G66,0),""),"")</f>
        <v/>
      </c>
      <c r="I66" s="58" t="str">
        <f aca="false">IFERROR(VLOOKUP(C66,①従業員マスタ!$A$4:$I$56,6,0),"")</f>
        <v/>
      </c>
      <c r="J66" s="57" t="str">
        <f aca="false">IFERROR(IF(AND(H66&lt;&gt;"",I66&lt;&gt;""),MAX(H66-I66,0),""),"")</f>
        <v/>
      </c>
      <c r="K66" s="34"/>
    </row>
    <row r="67" customFormat="false" ht="19.5" hidden="false" customHeight="true" outlineLevel="0" collapsed="false">
      <c r="A67" s="30"/>
      <c r="B67" s="59"/>
      <c r="C67" s="30"/>
      <c r="D67" s="52" t="str">
        <f aca="false">IFERROR(VLOOKUP(C67,①従業員マスタ!$A$4:$I$56,2,0),"")</f>
        <v/>
      </c>
      <c r="E67" s="60"/>
      <c r="F67" s="60"/>
      <c r="G67" s="32"/>
      <c r="H67" s="61" t="str">
        <f aca="false">IFERROR(IF(AND(E67&lt;&gt;"",F67&lt;&gt;""),(F67-E67)*24-IF(G67&lt;&gt;"",G67,0),""),"")</f>
        <v/>
      </c>
      <c r="I67" s="62" t="str">
        <f aca="false">IFERROR(VLOOKUP(C67,①従業員マスタ!$A$4:$I$56,6,0),"")</f>
        <v/>
      </c>
      <c r="J67" s="61" t="str">
        <f aca="false">IFERROR(IF(AND(H67&lt;&gt;"",I67&lt;&gt;""),MAX(H67-I67,0),""),"")</f>
        <v/>
      </c>
      <c r="K67" s="30"/>
    </row>
    <row r="68" customFormat="false" ht="19.5" hidden="false" customHeight="true" outlineLevel="0" collapsed="false">
      <c r="A68" s="34"/>
      <c r="B68" s="55"/>
      <c r="C68" s="34"/>
      <c r="D68" s="48" t="str">
        <f aca="false">IFERROR(VLOOKUP(C68,①従業員マスタ!$A$4:$I$56,2,0),"")</f>
        <v/>
      </c>
      <c r="E68" s="56"/>
      <c r="F68" s="56"/>
      <c r="G68" s="36"/>
      <c r="H68" s="57" t="str">
        <f aca="false">IFERROR(IF(AND(E68&lt;&gt;"",F68&lt;&gt;""),(F68-E68)*24-IF(G68&lt;&gt;"",G68,0),""),"")</f>
        <v/>
      </c>
      <c r="I68" s="58" t="str">
        <f aca="false">IFERROR(VLOOKUP(C68,①従業員マスタ!$A$4:$I$56,6,0),"")</f>
        <v/>
      </c>
      <c r="J68" s="57" t="str">
        <f aca="false">IFERROR(IF(AND(H68&lt;&gt;"",I68&lt;&gt;""),MAX(H68-I68,0),""),"")</f>
        <v/>
      </c>
      <c r="K68" s="34"/>
    </row>
    <row r="69" customFormat="false" ht="19.5" hidden="false" customHeight="true" outlineLevel="0" collapsed="false">
      <c r="A69" s="30"/>
      <c r="B69" s="59"/>
      <c r="C69" s="30"/>
      <c r="D69" s="52" t="str">
        <f aca="false">IFERROR(VLOOKUP(C69,①従業員マスタ!$A$4:$I$56,2,0),"")</f>
        <v/>
      </c>
      <c r="E69" s="60"/>
      <c r="F69" s="60"/>
      <c r="G69" s="32"/>
      <c r="H69" s="61" t="str">
        <f aca="false">IFERROR(IF(AND(E69&lt;&gt;"",F69&lt;&gt;""),(F69-E69)*24-IF(G69&lt;&gt;"",G69,0),""),"")</f>
        <v/>
      </c>
      <c r="I69" s="62" t="str">
        <f aca="false">IFERROR(VLOOKUP(C69,①従業員マスタ!$A$4:$I$56,6,0),"")</f>
        <v/>
      </c>
      <c r="J69" s="61" t="str">
        <f aca="false">IFERROR(IF(AND(H69&lt;&gt;"",I69&lt;&gt;""),MAX(H69-I69,0),""),"")</f>
        <v/>
      </c>
      <c r="K69" s="30"/>
    </row>
    <row r="70" customFormat="false" ht="19.5" hidden="false" customHeight="true" outlineLevel="0" collapsed="false">
      <c r="A70" s="34"/>
      <c r="B70" s="55"/>
      <c r="C70" s="34"/>
      <c r="D70" s="48" t="str">
        <f aca="false">IFERROR(VLOOKUP(C70,①従業員マスタ!$A$4:$I$56,2,0),"")</f>
        <v/>
      </c>
      <c r="E70" s="56"/>
      <c r="F70" s="56"/>
      <c r="G70" s="36"/>
      <c r="H70" s="57" t="str">
        <f aca="false">IFERROR(IF(AND(E70&lt;&gt;"",F70&lt;&gt;""),(F70-E70)*24-IF(G70&lt;&gt;"",G70,0),""),"")</f>
        <v/>
      </c>
      <c r="I70" s="58" t="str">
        <f aca="false">IFERROR(VLOOKUP(C70,①従業員マスタ!$A$4:$I$56,6,0),"")</f>
        <v/>
      </c>
      <c r="J70" s="57" t="str">
        <f aca="false">IFERROR(IF(AND(H70&lt;&gt;"",I70&lt;&gt;""),MAX(H70-I70,0),""),"")</f>
        <v/>
      </c>
      <c r="K70" s="34"/>
    </row>
    <row r="71" customFormat="false" ht="19.5" hidden="false" customHeight="true" outlineLevel="0" collapsed="false">
      <c r="A71" s="30"/>
      <c r="B71" s="59"/>
      <c r="C71" s="30"/>
      <c r="D71" s="52" t="str">
        <f aca="false">IFERROR(VLOOKUP(C71,①従業員マスタ!$A$4:$I$56,2,0),"")</f>
        <v/>
      </c>
      <c r="E71" s="60"/>
      <c r="F71" s="60"/>
      <c r="G71" s="32"/>
      <c r="H71" s="61" t="str">
        <f aca="false">IFERROR(IF(AND(E71&lt;&gt;"",F71&lt;&gt;""),(F71-E71)*24-IF(G71&lt;&gt;"",G71,0),""),"")</f>
        <v/>
      </c>
      <c r="I71" s="62" t="str">
        <f aca="false">IFERROR(VLOOKUP(C71,①従業員マスタ!$A$4:$I$56,6,0),"")</f>
        <v/>
      </c>
      <c r="J71" s="61" t="str">
        <f aca="false">IFERROR(IF(AND(H71&lt;&gt;"",I71&lt;&gt;""),MAX(H71-I71,0),""),"")</f>
        <v/>
      </c>
      <c r="K71" s="30"/>
    </row>
    <row r="72" customFormat="false" ht="19.5" hidden="false" customHeight="true" outlineLevel="0" collapsed="false">
      <c r="A72" s="34"/>
      <c r="B72" s="55"/>
      <c r="C72" s="34"/>
      <c r="D72" s="48" t="str">
        <f aca="false">IFERROR(VLOOKUP(C72,①従業員マスタ!$A$4:$I$56,2,0),"")</f>
        <v/>
      </c>
      <c r="E72" s="56"/>
      <c r="F72" s="56"/>
      <c r="G72" s="36"/>
      <c r="H72" s="57" t="str">
        <f aca="false">IFERROR(IF(AND(E72&lt;&gt;"",F72&lt;&gt;""),(F72-E72)*24-IF(G72&lt;&gt;"",G72,0),""),"")</f>
        <v/>
      </c>
      <c r="I72" s="58" t="str">
        <f aca="false">IFERROR(VLOOKUP(C72,①従業員マスタ!$A$4:$I$56,6,0),"")</f>
        <v/>
      </c>
      <c r="J72" s="57" t="str">
        <f aca="false">IFERROR(IF(AND(H72&lt;&gt;"",I72&lt;&gt;""),MAX(H72-I72,0),""),"")</f>
        <v/>
      </c>
      <c r="K72" s="34"/>
    </row>
    <row r="73" customFormat="false" ht="19.5" hidden="false" customHeight="true" outlineLevel="0" collapsed="false">
      <c r="A73" s="30"/>
      <c r="B73" s="59"/>
      <c r="C73" s="30"/>
      <c r="D73" s="52" t="str">
        <f aca="false">IFERROR(VLOOKUP(C73,①従業員マスタ!$A$4:$I$56,2,0),"")</f>
        <v/>
      </c>
      <c r="E73" s="60"/>
      <c r="F73" s="60"/>
      <c r="G73" s="32"/>
      <c r="H73" s="61" t="str">
        <f aca="false">IFERROR(IF(AND(E73&lt;&gt;"",F73&lt;&gt;""),(F73-E73)*24-IF(G73&lt;&gt;"",G73,0),""),"")</f>
        <v/>
      </c>
      <c r="I73" s="62" t="str">
        <f aca="false">IFERROR(VLOOKUP(C73,①従業員マスタ!$A$4:$I$56,6,0),"")</f>
        <v/>
      </c>
      <c r="J73" s="61" t="str">
        <f aca="false">IFERROR(IF(AND(H73&lt;&gt;"",I73&lt;&gt;""),MAX(H73-I73,0),""),"")</f>
        <v/>
      </c>
      <c r="K73" s="30"/>
    </row>
    <row r="74" customFormat="false" ht="19.5" hidden="false" customHeight="true" outlineLevel="0" collapsed="false">
      <c r="A74" s="34"/>
      <c r="B74" s="55"/>
      <c r="C74" s="34"/>
      <c r="D74" s="48" t="str">
        <f aca="false">IFERROR(VLOOKUP(C74,①従業員マスタ!$A$4:$I$56,2,0),"")</f>
        <v/>
      </c>
      <c r="E74" s="56"/>
      <c r="F74" s="56"/>
      <c r="G74" s="36"/>
      <c r="H74" s="57" t="str">
        <f aca="false">IFERROR(IF(AND(E74&lt;&gt;"",F74&lt;&gt;""),(F74-E74)*24-IF(G74&lt;&gt;"",G74,0),""),"")</f>
        <v/>
      </c>
      <c r="I74" s="58" t="str">
        <f aca="false">IFERROR(VLOOKUP(C74,①従業員マスタ!$A$4:$I$56,6,0),"")</f>
        <v/>
      </c>
      <c r="J74" s="57" t="str">
        <f aca="false">IFERROR(IF(AND(H74&lt;&gt;"",I74&lt;&gt;""),MAX(H74-I74,0),""),"")</f>
        <v/>
      </c>
      <c r="K74" s="34"/>
    </row>
    <row r="75" customFormat="false" ht="19.5" hidden="false" customHeight="true" outlineLevel="0" collapsed="false">
      <c r="A75" s="30"/>
      <c r="B75" s="59"/>
      <c r="C75" s="30"/>
      <c r="D75" s="52" t="str">
        <f aca="false">IFERROR(VLOOKUP(C75,①従業員マスタ!$A$4:$I$56,2,0),"")</f>
        <v/>
      </c>
      <c r="E75" s="60"/>
      <c r="F75" s="60"/>
      <c r="G75" s="32"/>
      <c r="H75" s="61" t="str">
        <f aca="false">IFERROR(IF(AND(E75&lt;&gt;"",F75&lt;&gt;""),(F75-E75)*24-IF(G75&lt;&gt;"",G75,0),""),"")</f>
        <v/>
      </c>
      <c r="I75" s="62" t="str">
        <f aca="false">IFERROR(VLOOKUP(C75,①従業員マスタ!$A$4:$I$56,6,0),"")</f>
        <v/>
      </c>
      <c r="J75" s="61" t="str">
        <f aca="false">IFERROR(IF(AND(H75&lt;&gt;"",I75&lt;&gt;""),MAX(H75-I75,0),""),"")</f>
        <v/>
      </c>
      <c r="K75" s="30"/>
    </row>
    <row r="76" customFormat="false" ht="19.5" hidden="false" customHeight="true" outlineLevel="0" collapsed="false">
      <c r="A76" s="34"/>
      <c r="B76" s="55"/>
      <c r="C76" s="34"/>
      <c r="D76" s="48" t="str">
        <f aca="false">IFERROR(VLOOKUP(C76,①従業員マスタ!$A$4:$I$56,2,0),"")</f>
        <v/>
      </c>
      <c r="E76" s="56"/>
      <c r="F76" s="56"/>
      <c r="G76" s="36"/>
      <c r="H76" s="57" t="str">
        <f aca="false">IFERROR(IF(AND(E76&lt;&gt;"",F76&lt;&gt;""),(F76-E76)*24-IF(G76&lt;&gt;"",G76,0),""),"")</f>
        <v/>
      </c>
      <c r="I76" s="58" t="str">
        <f aca="false">IFERROR(VLOOKUP(C76,①従業員マスタ!$A$4:$I$56,6,0),"")</f>
        <v/>
      </c>
      <c r="J76" s="57" t="str">
        <f aca="false">IFERROR(IF(AND(H76&lt;&gt;"",I76&lt;&gt;""),MAX(H76-I76,0),""),"")</f>
        <v/>
      </c>
      <c r="K76" s="34"/>
    </row>
    <row r="77" customFormat="false" ht="19.5" hidden="false" customHeight="true" outlineLevel="0" collapsed="false">
      <c r="A77" s="30"/>
      <c r="B77" s="59"/>
      <c r="C77" s="30"/>
      <c r="D77" s="52" t="str">
        <f aca="false">IFERROR(VLOOKUP(C77,①従業員マスタ!$A$4:$I$56,2,0),"")</f>
        <v/>
      </c>
      <c r="E77" s="60"/>
      <c r="F77" s="60"/>
      <c r="G77" s="32"/>
      <c r="H77" s="61" t="str">
        <f aca="false">IFERROR(IF(AND(E77&lt;&gt;"",F77&lt;&gt;""),(F77-E77)*24-IF(G77&lt;&gt;"",G77,0),""),"")</f>
        <v/>
      </c>
      <c r="I77" s="62" t="str">
        <f aca="false">IFERROR(VLOOKUP(C77,①従業員マスタ!$A$4:$I$56,6,0),"")</f>
        <v/>
      </c>
      <c r="J77" s="61" t="str">
        <f aca="false">IFERROR(IF(AND(H77&lt;&gt;"",I77&lt;&gt;""),MAX(H77-I77,0),""),"")</f>
        <v/>
      </c>
      <c r="K77" s="30"/>
    </row>
    <row r="78" customFormat="false" ht="19.5" hidden="false" customHeight="true" outlineLevel="0" collapsed="false">
      <c r="A78" s="34"/>
      <c r="B78" s="55"/>
      <c r="C78" s="34"/>
      <c r="D78" s="48" t="str">
        <f aca="false">IFERROR(VLOOKUP(C78,①従業員マスタ!$A$4:$I$56,2,0),"")</f>
        <v/>
      </c>
      <c r="E78" s="56"/>
      <c r="F78" s="56"/>
      <c r="G78" s="36"/>
      <c r="H78" s="57" t="str">
        <f aca="false">IFERROR(IF(AND(E78&lt;&gt;"",F78&lt;&gt;""),(F78-E78)*24-IF(G78&lt;&gt;"",G78,0),""),"")</f>
        <v/>
      </c>
      <c r="I78" s="58" t="str">
        <f aca="false">IFERROR(VLOOKUP(C78,①従業員マスタ!$A$4:$I$56,6,0),"")</f>
        <v/>
      </c>
      <c r="J78" s="57" t="str">
        <f aca="false">IFERROR(IF(AND(H78&lt;&gt;"",I78&lt;&gt;""),MAX(H78-I78,0),""),"")</f>
        <v/>
      </c>
      <c r="K78" s="34"/>
    </row>
    <row r="79" customFormat="false" ht="19.5" hidden="false" customHeight="true" outlineLevel="0" collapsed="false">
      <c r="A79" s="30"/>
      <c r="B79" s="59"/>
      <c r="C79" s="30"/>
      <c r="D79" s="52" t="str">
        <f aca="false">IFERROR(VLOOKUP(C79,①従業員マスタ!$A$4:$I$56,2,0),"")</f>
        <v/>
      </c>
      <c r="E79" s="60"/>
      <c r="F79" s="60"/>
      <c r="G79" s="32"/>
      <c r="H79" s="61" t="str">
        <f aca="false">IFERROR(IF(AND(E79&lt;&gt;"",F79&lt;&gt;""),(F79-E79)*24-IF(G79&lt;&gt;"",G79,0),""),"")</f>
        <v/>
      </c>
      <c r="I79" s="62" t="str">
        <f aca="false">IFERROR(VLOOKUP(C79,①従業員マスタ!$A$4:$I$56,6,0),"")</f>
        <v/>
      </c>
      <c r="J79" s="61" t="str">
        <f aca="false">IFERROR(IF(AND(H79&lt;&gt;"",I79&lt;&gt;""),MAX(H79-I79,0),""),"")</f>
        <v/>
      </c>
      <c r="K79" s="30"/>
    </row>
    <row r="80" customFormat="false" ht="19.5" hidden="false" customHeight="true" outlineLevel="0" collapsed="false">
      <c r="A80" s="34"/>
      <c r="B80" s="55"/>
      <c r="C80" s="34"/>
      <c r="D80" s="48" t="str">
        <f aca="false">IFERROR(VLOOKUP(C80,①従業員マスタ!$A$4:$I$56,2,0),"")</f>
        <v/>
      </c>
      <c r="E80" s="56"/>
      <c r="F80" s="56"/>
      <c r="G80" s="36"/>
      <c r="H80" s="57" t="str">
        <f aca="false">IFERROR(IF(AND(E80&lt;&gt;"",F80&lt;&gt;""),(F80-E80)*24-IF(G80&lt;&gt;"",G80,0),""),"")</f>
        <v/>
      </c>
      <c r="I80" s="58" t="str">
        <f aca="false">IFERROR(VLOOKUP(C80,①従業員マスタ!$A$4:$I$56,6,0),"")</f>
        <v/>
      </c>
      <c r="J80" s="57" t="str">
        <f aca="false">IFERROR(IF(AND(H80&lt;&gt;"",I80&lt;&gt;""),MAX(H80-I80,0),""),"")</f>
        <v/>
      </c>
      <c r="K80" s="34"/>
    </row>
    <row r="81" customFormat="false" ht="19.5" hidden="false" customHeight="true" outlineLevel="0" collapsed="false">
      <c r="A81" s="30"/>
      <c r="B81" s="59"/>
      <c r="C81" s="30"/>
      <c r="D81" s="52" t="str">
        <f aca="false">IFERROR(VLOOKUP(C81,①従業員マスタ!$A$4:$I$56,2,0),"")</f>
        <v/>
      </c>
      <c r="E81" s="60"/>
      <c r="F81" s="60"/>
      <c r="G81" s="32"/>
      <c r="H81" s="61" t="str">
        <f aca="false">IFERROR(IF(AND(E81&lt;&gt;"",F81&lt;&gt;""),(F81-E81)*24-IF(G81&lt;&gt;"",G81,0),""),"")</f>
        <v/>
      </c>
      <c r="I81" s="62" t="str">
        <f aca="false">IFERROR(VLOOKUP(C81,①従業員マスタ!$A$4:$I$56,6,0),"")</f>
        <v/>
      </c>
      <c r="J81" s="61" t="str">
        <f aca="false">IFERROR(IF(AND(H81&lt;&gt;"",I81&lt;&gt;""),MAX(H81-I81,0),""),"")</f>
        <v/>
      </c>
      <c r="K81" s="30"/>
    </row>
    <row r="82" customFormat="false" ht="19.5" hidden="false" customHeight="true" outlineLevel="0" collapsed="false">
      <c r="A82" s="34"/>
      <c r="B82" s="55"/>
      <c r="C82" s="34"/>
      <c r="D82" s="48" t="str">
        <f aca="false">IFERROR(VLOOKUP(C82,①従業員マスタ!$A$4:$I$56,2,0),"")</f>
        <v/>
      </c>
      <c r="E82" s="56"/>
      <c r="F82" s="56"/>
      <c r="G82" s="36"/>
      <c r="H82" s="57" t="str">
        <f aca="false">IFERROR(IF(AND(E82&lt;&gt;"",F82&lt;&gt;""),(F82-E82)*24-IF(G82&lt;&gt;"",G82,0),""),"")</f>
        <v/>
      </c>
      <c r="I82" s="58" t="str">
        <f aca="false">IFERROR(VLOOKUP(C82,①従業員マスタ!$A$4:$I$56,6,0),"")</f>
        <v/>
      </c>
      <c r="J82" s="57" t="str">
        <f aca="false">IFERROR(IF(AND(H82&lt;&gt;"",I82&lt;&gt;""),MAX(H82-I82,0),""),"")</f>
        <v/>
      </c>
      <c r="K82" s="34"/>
    </row>
    <row r="83" customFormat="false" ht="19.5" hidden="false" customHeight="true" outlineLevel="0" collapsed="false">
      <c r="A83" s="30"/>
      <c r="B83" s="59"/>
      <c r="C83" s="30"/>
      <c r="D83" s="52" t="str">
        <f aca="false">IFERROR(VLOOKUP(C83,①従業員マスタ!$A$4:$I$56,2,0),"")</f>
        <v/>
      </c>
      <c r="E83" s="60"/>
      <c r="F83" s="60"/>
      <c r="G83" s="32"/>
      <c r="H83" s="61" t="str">
        <f aca="false">IFERROR(IF(AND(E83&lt;&gt;"",F83&lt;&gt;""),(F83-E83)*24-IF(G83&lt;&gt;"",G83,0),""),"")</f>
        <v/>
      </c>
      <c r="I83" s="62" t="str">
        <f aca="false">IFERROR(VLOOKUP(C83,①従業員マスタ!$A$4:$I$56,6,0),"")</f>
        <v/>
      </c>
      <c r="J83" s="61" t="str">
        <f aca="false">IFERROR(IF(AND(H83&lt;&gt;"",I83&lt;&gt;""),MAX(H83-I83,0),""),"")</f>
        <v/>
      </c>
      <c r="K83" s="30"/>
    </row>
    <row r="84" customFormat="false" ht="19.5" hidden="false" customHeight="true" outlineLevel="0" collapsed="false">
      <c r="A84" s="34"/>
      <c r="B84" s="55"/>
      <c r="C84" s="34"/>
      <c r="D84" s="48" t="str">
        <f aca="false">IFERROR(VLOOKUP(C84,①従業員マスタ!$A$4:$I$56,2,0),"")</f>
        <v/>
      </c>
      <c r="E84" s="56"/>
      <c r="F84" s="56"/>
      <c r="G84" s="36"/>
      <c r="H84" s="57" t="str">
        <f aca="false">IFERROR(IF(AND(E84&lt;&gt;"",F84&lt;&gt;""),(F84-E84)*24-IF(G84&lt;&gt;"",G84,0),""),"")</f>
        <v/>
      </c>
      <c r="I84" s="58" t="str">
        <f aca="false">IFERROR(VLOOKUP(C84,①従業員マスタ!$A$4:$I$56,6,0),"")</f>
        <v/>
      </c>
      <c r="J84" s="57" t="str">
        <f aca="false">IFERROR(IF(AND(H84&lt;&gt;"",I84&lt;&gt;""),MAX(H84-I84,0),""),"")</f>
        <v/>
      </c>
      <c r="K84" s="34"/>
    </row>
    <row r="85" customFormat="false" ht="19.5" hidden="false" customHeight="true" outlineLevel="0" collapsed="false">
      <c r="A85" s="30"/>
      <c r="B85" s="59"/>
      <c r="C85" s="30"/>
      <c r="D85" s="52" t="str">
        <f aca="false">IFERROR(VLOOKUP(C85,①従業員マスタ!$A$4:$I$56,2,0),"")</f>
        <v/>
      </c>
      <c r="E85" s="60"/>
      <c r="F85" s="60"/>
      <c r="G85" s="32"/>
      <c r="H85" s="61" t="str">
        <f aca="false">IFERROR(IF(AND(E85&lt;&gt;"",F85&lt;&gt;""),(F85-E85)*24-IF(G85&lt;&gt;"",G85,0),""),"")</f>
        <v/>
      </c>
      <c r="I85" s="62" t="str">
        <f aca="false">IFERROR(VLOOKUP(C85,①従業員マスタ!$A$4:$I$56,6,0),"")</f>
        <v/>
      </c>
      <c r="J85" s="61" t="str">
        <f aca="false">IFERROR(IF(AND(H85&lt;&gt;"",I85&lt;&gt;""),MAX(H85-I85,0),""),"")</f>
        <v/>
      </c>
      <c r="K85" s="30"/>
    </row>
    <row r="86" customFormat="false" ht="19.5" hidden="false" customHeight="true" outlineLevel="0" collapsed="false">
      <c r="A86" s="34"/>
      <c r="B86" s="55"/>
      <c r="C86" s="34"/>
      <c r="D86" s="48" t="str">
        <f aca="false">IFERROR(VLOOKUP(C86,①従業員マスタ!$A$4:$I$56,2,0),"")</f>
        <v/>
      </c>
      <c r="E86" s="56"/>
      <c r="F86" s="56"/>
      <c r="G86" s="36"/>
      <c r="H86" s="57" t="str">
        <f aca="false">IFERROR(IF(AND(E86&lt;&gt;"",F86&lt;&gt;""),(F86-E86)*24-IF(G86&lt;&gt;"",G86,0),""),"")</f>
        <v/>
      </c>
      <c r="I86" s="58" t="str">
        <f aca="false">IFERROR(VLOOKUP(C86,①従業員マスタ!$A$4:$I$56,6,0),"")</f>
        <v/>
      </c>
      <c r="J86" s="57" t="str">
        <f aca="false">IFERROR(IF(AND(H86&lt;&gt;"",I86&lt;&gt;""),MAX(H86-I86,0),""),"")</f>
        <v/>
      </c>
      <c r="K86" s="34"/>
    </row>
    <row r="87" customFormat="false" ht="19.5" hidden="false" customHeight="true" outlineLevel="0" collapsed="false">
      <c r="A87" s="30"/>
      <c r="B87" s="59"/>
      <c r="C87" s="30"/>
      <c r="D87" s="52" t="str">
        <f aca="false">IFERROR(VLOOKUP(C87,①従業員マスタ!$A$4:$I$56,2,0),"")</f>
        <v/>
      </c>
      <c r="E87" s="60"/>
      <c r="F87" s="60"/>
      <c r="G87" s="32"/>
      <c r="H87" s="61" t="str">
        <f aca="false">IFERROR(IF(AND(E87&lt;&gt;"",F87&lt;&gt;""),(F87-E87)*24-IF(G87&lt;&gt;"",G87,0),""),"")</f>
        <v/>
      </c>
      <c r="I87" s="62" t="str">
        <f aca="false">IFERROR(VLOOKUP(C87,①従業員マスタ!$A$4:$I$56,6,0),"")</f>
        <v/>
      </c>
      <c r="J87" s="61" t="str">
        <f aca="false">IFERROR(IF(AND(H87&lt;&gt;"",I87&lt;&gt;""),MAX(H87-I87,0),""),"")</f>
        <v/>
      </c>
      <c r="K87" s="30"/>
    </row>
    <row r="88" customFormat="false" ht="19.5" hidden="false" customHeight="true" outlineLevel="0" collapsed="false">
      <c r="A88" s="34"/>
      <c r="B88" s="55"/>
      <c r="C88" s="34"/>
      <c r="D88" s="48" t="str">
        <f aca="false">IFERROR(VLOOKUP(C88,①従業員マスタ!$A$4:$I$56,2,0),"")</f>
        <v/>
      </c>
      <c r="E88" s="56"/>
      <c r="F88" s="56"/>
      <c r="G88" s="36"/>
      <c r="H88" s="57" t="str">
        <f aca="false">IFERROR(IF(AND(E88&lt;&gt;"",F88&lt;&gt;""),(F88-E88)*24-IF(G88&lt;&gt;"",G88,0),""),"")</f>
        <v/>
      </c>
      <c r="I88" s="58" t="str">
        <f aca="false">IFERROR(VLOOKUP(C88,①従業員マスタ!$A$4:$I$56,6,0),"")</f>
        <v/>
      </c>
      <c r="J88" s="57" t="str">
        <f aca="false">IFERROR(IF(AND(H88&lt;&gt;"",I88&lt;&gt;""),MAX(H88-I88,0),""),"")</f>
        <v/>
      </c>
      <c r="K88" s="34"/>
    </row>
    <row r="89" customFormat="false" ht="19.5" hidden="false" customHeight="true" outlineLevel="0" collapsed="false">
      <c r="A89" s="30"/>
      <c r="B89" s="59"/>
      <c r="C89" s="30"/>
      <c r="D89" s="52" t="str">
        <f aca="false">IFERROR(VLOOKUP(C89,①従業員マスタ!$A$4:$I$56,2,0),"")</f>
        <v/>
      </c>
      <c r="E89" s="60"/>
      <c r="F89" s="60"/>
      <c r="G89" s="32"/>
      <c r="H89" s="61" t="str">
        <f aca="false">IFERROR(IF(AND(E89&lt;&gt;"",F89&lt;&gt;""),(F89-E89)*24-IF(G89&lt;&gt;"",G89,0),""),"")</f>
        <v/>
      </c>
      <c r="I89" s="62" t="str">
        <f aca="false">IFERROR(VLOOKUP(C89,①従業員マスタ!$A$4:$I$56,6,0),"")</f>
        <v/>
      </c>
      <c r="J89" s="61" t="str">
        <f aca="false">IFERROR(IF(AND(H89&lt;&gt;"",I89&lt;&gt;""),MAX(H89-I89,0),""),"")</f>
        <v/>
      </c>
      <c r="K89" s="30"/>
    </row>
    <row r="90" customFormat="false" ht="19.5" hidden="false" customHeight="true" outlineLevel="0" collapsed="false">
      <c r="A90" s="34"/>
      <c r="B90" s="55"/>
      <c r="C90" s="34"/>
      <c r="D90" s="48" t="str">
        <f aca="false">IFERROR(VLOOKUP(C90,①従業員マスタ!$A$4:$I$56,2,0),"")</f>
        <v/>
      </c>
      <c r="E90" s="56"/>
      <c r="F90" s="56"/>
      <c r="G90" s="36"/>
      <c r="H90" s="57" t="str">
        <f aca="false">IFERROR(IF(AND(E90&lt;&gt;"",F90&lt;&gt;""),(F90-E90)*24-IF(G90&lt;&gt;"",G90,0),""),"")</f>
        <v/>
      </c>
      <c r="I90" s="58" t="str">
        <f aca="false">IFERROR(VLOOKUP(C90,①従業員マスタ!$A$4:$I$56,6,0),"")</f>
        <v/>
      </c>
      <c r="J90" s="57" t="str">
        <f aca="false">IFERROR(IF(AND(H90&lt;&gt;"",I90&lt;&gt;""),MAX(H90-I90,0),""),"")</f>
        <v/>
      </c>
      <c r="K90" s="34"/>
    </row>
    <row r="91" customFormat="false" ht="19.5" hidden="false" customHeight="true" outlineLevel="0" collapsed="false">
      <c r="A91" s="30"/>
      <c r="B91" s="59"/>
      <c r="C91" s="30"/>
      <c r="D91" s="52" t="str">
        <f aca="false">IFERROR(VLOOKUP(C91,①従業員マスタ!$A$4:$I$56,2,0),"")</f>
        <v/>
      </c>
      <c r="E91" s="60"/>
      <c r="F91" s="60"/>
      <c r="G91" s="32"/>
      <c r="H91" s="61" t="str">
        <f aca="false">IFERROR(IF(AND(E91&lt;&gt;"",F91&lt;&gt;""),(F91-E91)*24-IF(G91&lt;&gt;"",G91,0),""),"")</f>
        <v/>
      </c>
      <c r="I91" s="62" t="str">
        <f aca="false">IFERROR(VLOOKUP(C91,①従業員マスタ!$A$4:$I$56,6,0),"")</f>
        <v/>
      </c>
      <c r="J91" s="61" t="str">
        <f aca="false">IFERROR(IF(AND(H91&lt;&gt;"",I91&lt;&gt;""),MAX(H91-I91,0),""),"")</f>
        <v/>
      </c>
      <c r="K91" s="30"/>
    </row>
    <row r="92" customFormat="false" ht="19.5" hidden="false" customHeight="true" outlineLevel="0" collapsed="false">
      <c r="A92" s="34"/>
      <c r="B92" s="55"/>
      <c r="C92" s="34"/>
      <c r="D92" s="48" t="str">
        <f aca="false">IFERROR(VLOOKUP(C92,①従業員マスタ!$A$4:$I$56,2,0),"")</f>
        <v/>
      </c>
      <c r="E92" s="56"/>
      <c r="F92" s="56"/>
      <c r="G92" s="36"/>
      <c r="H92" s="57" t="str">
        <f aca="false">IFERROR(IF(AND(E92&lt;&gt;"",F92&lt;&gt;""),(F92-E92)*24-IF(G92&lt;&gt;"",G92,0),""),"")</f>
        <v/>
      </c>
      <c r="I92" s="58" t="str">
        <f aca="false">IFERROR(VLOOKUP(C92,①従業員マスタ!$A$4:$I$56,6,0),"")</f>
        <v/>
      </c>
      <c r="J92" s="57" t="str">
        <f aca="false">IFERROR(IF(AND(H92&lt;&gt;"",I92&lt;&gt;""),MAX(H92-I92,0),""),"")</f>
        <v/>
      </c>
      <c r="K92" s="34"/>
    </row>
    <row r="93" customFormat="false" ht="19.5" hidden="false" customHeight="true" outlineLevel="0" collapsed="false">
      <c r="A93" s="30"/>
      <c r="B93" s="59"/>
      <c r="C93" s="30"/>
      <c r="D93" s="52" t="str">
        <f aca="false">IFERROR(VLOOKUP(C93,①従業員マスタ!$A$4:$I$56,2,0),"")</f>
        <v/>
      </c>
      <c r="E93" s="60"/>
      <c r="F93" s="60"/>
      <c r="G93" s="32"/>
      <c r="H93" s="61" t="str">
        <f aca="false">IFERROR(IF(AND(E93&lt;&gt;"",F93&lt;&gt;""),(F93-E93)*24-IF(G93&lt;&gt;"",G93,0),""),"")</f>
        <v/>
      </c>
      <c r="I93" s="62" t="str">
        <f aca="false">IFERROR(VLOOKUP(C93,①従業員マスタ!$A$4:$I$56,6,0),"")</f>
        <v/>
      </c>
      <c r="J93" s="61" t="str">
        <f aca="false">IFERROR(IF(AND(H93&lt;&gt;"",I93&lt;&gt;""),MAX(H93-I93,0),""),"")</f>
        <v/>
      </c>
      <c r="K93" s="30"/>
    </row>
    <row r="94" customFormat="false" ht="19.5" hidden="false" customHeight="true" outlineLevel="0" collapsed="false">
      <c r="A94" s="34"/>
      <c r="B94" s="55"/>
      <c r="C94" s="34"/>
      <c r="D94" s="48" t="str">
        <f aca="false">IFERROR(VLOOKUP(C94,①従業員マスタ!$A$4:$I$56,2,0),"")</f>
        <v/>
      </c>
      <c r="E94" s="56"/>
      <c r="F94" s="56"/>
      <c r="G94" s="36"/>
      <c r="H94" s="57" t="str">
        <f aca="false">IFERROR(IF(AND(E94&lt;&gt;"",F94&lt;&gt;""),(F94-E94)*24-IF(G94&lt;&gt;"",G94,0),""),"")</f>
        <v/>
      </c>
      <c r="I94" s="58" t="str">
        <f aca="false">IFERROR(VLOOKUP(C94,①従業員マスタ!$A$4:$I$56,6,0),"")</f>
        <v/>
      </c>
      <c r="J94" s="57" t="str">
        <f aca="false">IFERROR(IF(AND(H94&lt;&gt;"",I94&lt;&gt;""),MAX(H94-I94,0),""),"")</f>
        <v/>
      </c>
      <c r="K94" s="34"/>
    </row>
    <row r="95" customFormat="false" ht="19.5" hidden="false" customHeight="true" outlineLevel="0" collapsed="false">
      <c r="A95" s="30"/>
      <c r="B95" s="59"/>
      <c r="C95" s="30"/>
      <c r="D95" s="52" t="str">
        <f aca="false">IFERROR(VLOOKUP(C95,①従業員マスタ!$A$4:$I$56,2,0),"")</f>
        <v/>
      </c>
      <c r="E95" s="60"/>
      <c r="F95" s="60"/>
      <c r="G95" s="32"/>
      <c r="H95" s="61" t="str">
        <f aca="false">IFERROR(IF(AND(E95&lt;&gt;"",F95&lt;&gt;""),(F95-E95)*24-IF(G95&lt;&gt;"",G95,0),""),"")</f>
        <v/>
      </c>
      <c r="I95" s="62" t="str">
        <f aca="false">IFERROR(VLOOKUP(C95,①従業員マスタ!$A$4:$I$56,6,0),"")</f>
        <v/>
      </c>
      <c r="J95" s="61" t="str">
        <f aca="false">IFERROR(IF(AND(H95&lt;&gt;"",I95&lt;&gt;""),MAX(H95-I95,0),""),"")</f>
        <v/>
      </c>
      <c r="K95" s="30"/>
    </row>
    <row r="96" customFormat="false" ht="19.5" hidden="false" customHeight="true" outlineLevel="0" collapsed="false">
      <c r="A96" s="34"/>
      <c r="B96" s="55"/>
      <c r="C96" s="34"/>
      <c r="D96" s="48" t="str">
        <f aca="false">IFERROR(VLOOKUP(C96,①従業員マスタ!$A$4:$I$56,2,0),"")</f>
        <v/>
      </c>
      <c r="E96" s="56"/>
      <c r="F96" s="56"/>
      <c r="G96" s="36"/>
      <c r="H96" s="57" t="str">
        <f aca="false">IFERROR(IF(AND(E96&lt;&gt;"",F96&lt;&gt;""),(F96-E96)*24-IF(G96&lt;&gt;"",G96,0),""),"")</f>
        <v/>
      </c>
      <c r="I96" s="58" t="str">
        <f aca="false">IFERROR(VLOOKUP(C96,①従業員マスタ!$A$4:$I$56,6,0),"")</f>
        <v/>
      </c>
      <c r="J96" s="57" t="str">
        <f aca="false">IFERROR(IF(AND(H96&lt;&gt;"",I96&lt;&gt;""),MAX(H96-I96,0),""),"")</f>
        <v/>
      </c>
      <c r="K96" s="34"/>
    </row>
    <row r="97" customFormat="false" ht="19.5" hidden="false" customHeight="true" outlineLevel="0" collapsed="false">
      <c r="A97" s="30"/>
      <c r="B97" s="59"/>
      <c r="C97" s="30"/>
      <c r="D97" s="52" t="str">
        <f aca="false">IFERROR(VLOOKUP(C97,①従業員マスタ!$A$4:$I$56,2,0),"")</f>
        <v/>
      </c>
      <c r="E97" s="60"/>
      <c r="F97" s="60"/>
      <c r="G97" s="32"/>
      <c r="H97" s="61" t="str">
        <f aca="false">IFERROR(IF(AND(E97&lt;&gt;"",F97&lt;&gt;""),(F97-E97)*24-IF(G97&lt;&gt;"",G97,0),""),"")</f>
        <v/>
      </c>
      <c r="I97" s="62" t="str">
        <f aca="false">IFERROR(VLOOKUP(C97,①従業員マスタ!$A$4:$I$56,6,0),"")</f>
        <v/>
      </c>
      <c r="J97" s="61" t="str">
        <f aca="false">IFERROR(IF(AND(H97&lt;&gt;"",I97&lt;&gt;""),MAX(H97-I97,0),""),"")</f>
        <v/>
      </c>
      <c r="K97" s="30"/>
    </row>
    <row r="98" customFormat="false" ht="19.5" hidden="false" customHeight="true" outlineLevel="0" collapsed="false">
      <c r="A98" s="34"/>
      <c r="B98" s="55"/>
      <c r="C98" s="34"/>
      <c r="D98" s="48" t="str">
        <f aca="false">IFERROR(VLOOKUP(C98,①従業員マスタ!$A$4:$I$56,2,0),"")</f>
        <v/>
      </c>
      <c r="E98" s="56"/>
      <c r="F98" s="56"/>
      <c r="G98" s="36"/>
      <c r="H98" s="57" t="str">
        <f aca="false">IFERROR(IF(AND(E98&lt;&gt;"",F98&lt;&gt;""),(F98-E98)*24-IF(G98&lt;&gt;"",G98,0),""),"")</f>
        <v/>
      </c>
      <c r="I98" s="58" t="str">
        <f aca="false">IFERROR(VLOOKUP(C98,①従業員マスタ!$A$4:$I$56,6,0),"")</f>
        <v/>
      </c>
      <c r="J98" s="57" t="str">
        <f aca="false">IFERROR(IF(AND(H98&lt;&gt;"",I98&lt;&gt;""),MAX(H98-I98,0),""),"")</f>
        <v/>
      </c>
      <c r="K98" s="34"/>
    </row>
    <row r="99" customFormat="false" ht="19.5" hidden="false" customHeight="true" outlineLevel="0" collapsed="false">
      <c r="A99" s="30"/>
      <c r="B99" s="59"/>
      <c r="C99" s="30"/>
      <c r="D99" s="52" t="str">
        <f aca="false">IFERROR(VLOOKUP(C99,①従業員マスタ!$A$4:$I$56,2,0),"")</f>
        <v/>
      </c>
      <c r="E99" s="60"/>
      <c r="F99" s="60"/>
      <c r="G99" s="32"/>
      <c r="H99" s="61" t="str">
        <f aca="false">IFERROR(IF(AND(E99&lt;&gt;"",F99&lt;&gt;""),(F99-E99)*24-IF(G99&lt;&gt;"",G99,0),""),"")</f>
        <v/>
      </c>
      <c r="I99" s="62" t="str">
        <f aca="false">IFERROR(VLOOKUP(C99,①従業員マスタ!$A$4:$I$56,6,0),"")</f>
        <v/>
      </c>
      <c r="J99" s="61" t="str">
        <f aca="false">IFERROR(IF(AND(H99&lt;&gt;"",I99&lt;&gt;""),MAX(H99-I99,0),""),"")</f>
        <v/>
      </c>
      <c r="K99" s="30"/>
    </row>
    <row r="100" customFormat="false" ht="19.5" hidden="false" customHeight="true" outlineLevel="0" collapsed="false">
      <c r="A100" s="34"/>
      <c r="B100" s="55"/>
      <c r="C100" s="34"/>
      <c r="D100" s="48" t="str">
        <f aca="false">IFERROR(VLOOKUP(C100,①従業員マスタ!$A$4:$I$56,2,0),"")</f>
        <v/>
      </c>
      <c r="E100" s="56"/>
      <c r="F100" s="56"/>
      <c r="G100" s="36"/>
      <c r="H100" s="57" t="str">
        <f aca="false">IFERROR(IF(AND(E100&lt;&gt;"",F100&lt;&gt;""),(F100-E100)*24-IF(G100&lt;&gt;"",G100,0),""),"")</f>
        <v/>
      </c>
      <c r="I100" s="58" t="str">
        <f aca="false">IFERROR(VLOOKUP(C100,①従業員マスタ!$A$4:$I$56,6,0),"")</f>
        <v/>
      </c>
      <c r="J100" s="57" t="str">
        <f aca="false">IFERROR(IF(AND(H100&lt;&gt;"",I100&lt;&gt;""),MAX(H100-I100,0),""),"")</f>
        <v/>
      </c>
      <c r="K100" s="34"/>
    </row>
    <row r="101" customFormat="false" ht="19.5" hidden="false" customHeight="true" outlineLevel="0" collapsed="false">
      <c r="A101" s="30"/>
      <c r="B101" s="59"/>
      <c r="C101" s="30"/>
      <c r="D101" s="52" t="str">
        <f aca="false">IFERROR(VLOOKUP(C101,①従業員マスタ!$A$4:$I$56,2,0),"")</f>
        <v/>
      </c>
      <c r="E101" s="60"/>
      <c r="F101" s="60"/>
      <c r="G101" s="32"/>
      <c r="H101" s="61" t="str">
        <f aca="false">IFERROR(IF(AND(E101&lt;&gt;"",F101&lt;&gt;""),(F101-E101)*24-IF(G101&lt;&gt;"",G101,0),""),"")</f>
        <v/>
      </c>
      <c r="I101" s="62" t="str">
        <f aca="false">IFERROR(VLOOKUP(C101,①従業員マスタ!$A$4:$I$56,6,0),"")</f>
        <v/>
      </c>
      <c r="J101" s="61" t="str">
        <f aca="false">IFERROR(IF(AND(H101&lt;&gt;"",I101&lt;&gt;""),MAX(H101-I101,0),""),"")</f>
        <v/>
      </c>
      <c r="K101" s="30"/>
    </row>
    <row r="102" customFormat="false" ht="19.5" hidden="false" customHeight="true" outlineLevel="0" collapsed="false">
      <c r="A102" s="34"/>
      <c r="B102" s="55"/>
      <c r="C102" s="34"/>
      <c r="D102" s="48" t="str">
        <f aca="false">IFERROR(VLOOKUP(C102,①従業員マスタ!$A$4:$I$56,2,0),"")</f>
        <v/>
      </c>
      <c r="E102" s="56"/>
      <c r="F102" s="56"/>
      <c r="G102" s="36"/>
      <c r="H102" s="57" t="str">
        <f aca="false">IFERROR(IF(AND(E102&lt;&gt;"",F102&lt;&gt;""),(F102-E102)*24-IF(G102&lt;&gt;"",G102,0),""),"")</f>
        <v/>
      </c>
      <c r="I102" s="58" t="str">
        <f aca="false">IFERROR(VLOOKUP(C102,①従業員マスタ!$A$4:$I$56,6,0),"")</f>
        <v/>
      </c>
      <c r="J102" s="57" t="str">
        <f aca="false">IFERROR(IF(AND(H102&lt;&gt;"",I102&lt;&gt;""),MAX(H102-I102,0),""),"")</f>
        <v/>
      </c>
      <c r="K102" s="34"/>
    </row>
    <row r="103" customFormat="false" ht="19.5" hidden="false" customHeight="true" outlineLevel="0" collapsed="false">
      <c r="A103" s="30"/>
      <c r="B103" s="59"/>
      <c r="C103" s="30"/>
      <c r="D103" s="52" t="str">
        <f aca="false">IFERROR(VLOOKUP(C103,①従業員マスタ!$A$4:$I$56,2,0),"")</f>
        <v/>
      </c>
      <c r="E103" s="60"/>
      <c r="F103" s="60"/>
      <c r="G103" s="32"/>
      <c r="H103" s="61" t="str">
        <f aca="false">IFERROR(IF(AND(E103&lt;&gt;"",F103&lt;&gt;""),(F103-E103)*24-IF(G103&lt;&gt;"",G103,0),""),"")</f>
        <v/>
      </c>
      <c r="I103" s="62" t="str">
        <f aca="false">IFERROR(VLOOKUP(C103,①従業員マスタ!$A$4:$I$56,6,0),"")</f>
        <v/>
      </c>
      <c r="J103" s="61" t="str">
        <f aca="false">IFERROR(IF(AND(H103&lt;&gt;"",I103&lt;&gt;""),MAX(H103-I103,0),""),"")</f>
        <v/>
      </c>
      <c r="K103" s="30"/>
    </row>
    <row r="104" customFormat="false" ht="19.5" hidden="false" customHeight="true" outlineLevel="0" collapsed="false">
      <c r="A104" s="34"/>
      <c r="B104" s="55"/>
      <c r="C104" s="34"/>
      <c r="D104" s="48" t="str">
        <f aca="false">IFERROR(VLOOKUP(C104,①従業員マスタ!$A$4:$I$56,2,0),"")</f>
        <v/>
      </c>
      <c r="E104" s="56"/>
      <c r="F104" s="56"/>
      <c r="G104" s="36"/>
      <c r="H104" s="57" t="str">
        <f aca="false">IFERROR(IF(AND(E104&lt;&gt;"",F104&lt;&gt;""),(F104-E104)*24-IF(G104&lt;&gt;"",G104,0),""),"")</f>
        <v/>
      </c>
      <c r="I104" s="58" t="str">
        <f aca="false">IFERROR(VLOOKUP(C104,①従業員マスタ!$A$4:$I$56,6,0),"")</f>
        <v/>
      </c>
      <c r="J104" s="57" t="str">
        <f aca="false">IFERROR(IF(AND(H104&lt;&gt;"",I104&lt;&gt;""),MAX(H104-I104,0),""),"")</f>
        <v/>
      </c>
      <c r="K104" s="34"/>
    </row>
    <row r="105" customFormat="false" ht="19.5" hidden="false" customHeight="true" outlineLevel="0" collapsed="false">
      <c r="A105" s="30"/>
      <c r="B105" s="59"/>
      <c r="C105" s="30"/>
      <c r="D105" s="52" t="str">
        <f aca="false">IFERROR(VLOOKUP(C105,①従業員マスタ!$A$4:$I$56,2,0),"")</f>
        <v/>
      </c>
      <c r="E105" s="60"/>
      <c r="F105" s="60"/>
      <c r="G105" s="32"/>
      <c r="H105" s="61" t="str">
        <f aca="false">IFERROR(IF(AND(E105&lt;&gt;"",F105&lt;&gt;""),(F105-E105)*24-IF(G105&lt;&gt;"",G105,0),""),"")</f>
        <v/>
      </c>
      <c r="I105" s="62" t="str">
        <f aca="false">IFERROR(VLOOKUP(C105,①従業員マスタ!$A$4:$I$56,6,0),"")</f>
        <v/>
      </c>
      <c r="J105" s="61" t="str">
        <f aca="false">IFERROR(IF(AND(H105&lt;&gt;"",I105&lt;&gt;""),MAX(H105-I105,0),""),"")</f>
        <v/>
      </c>
      <c r="K105" s="30"/>
    </row>
    <row r="106" customFormat="false" ht="19.5" hidden="false" customHeight="true" outlineLevel="0" collapsed="false">
      <c r="A106" s="34"/>
      <c r="B106" s="55"/>
      <c r="C106" s="34"/>
      <c r="D106" s="48" t="str">
        <f aca="false">IFERROR(VLOOKUP(C106,①従業員マスタ!$A$4:$I$56,2,0),"")</f>
        <v/>
      </c>
      <c r="E106" s="56"/>
      <c r="F106" s="56"/>
      <c r="G106" s="36"/>
      <c r="H106" s="57" t="str">
        <f aca="false">IFERROR(IF(AND(E106&lt;&gt;"",F106&lt;&gt;""),(F106-E106)*24-IF(G106&lt;&gt;"",G106,0),""),"")</f>
        <v/>
      </c>
      <c r="I106" s="58" t="str">
        <f aca="false">IFERROR(VLOOKUP(C106,①従業員マスタ!$A$4:$I$56,6,0),"")</f>
        <v/>
      </c>
      <c r="J106" s="57" t="str">
        <f aca="false">IFERROR(IF(AND(H106&lt;&gt;"",I106&lt;&gt;""),MAX(H106-I106,0),""),"")</f>
        <v/>
      </c>
      <c r="K106" s="34"/>
    </row>
    <row r="107" customFormat="false" ht="19.5" hidden="false" customHeight="true" outlineLevel="0" collapsed="false">
      <c r="A107" s="30"/>
      <c r="B107" s="59"/>
      <c r="C107" s="30"/>
      <c r="D107" s="52" t="str">
        <f aca="false">IFERROR(VLOOKUP(C107,①従業員マスタ!$A$4:$I$56,2,0),"")</f>
        <v/>
      </c>
      <c r="E107" s="60"/>
      <c r="F107" s="60"/>
      <c r="G107" s="32"/>
      <c r="H107" s="61" t="str">
        <f aca="false">IFERROR(IF(AND(E107&lt;&gt;"",F107&lt;&gt;""),(F107-E107)*24-IF(G107&lt;&gt;"",G107,0),""),"")</f>
        <v/>
      </c>
      <c r="I107" s="62" t="str">
        <f aca="false">IFERROR(VLOOKUP(C107,①従業員マスタ!$A$4:$I$56,6,0),"")</f>
        <v/>
      </c>
      <c r="J107" s="61" t="str">
        <f aca="false">IFERROR(IF(AND(H107&lt;&gt;"",I107&lt;&gt;""),MAX(H107-I107,0),""),"")</f>
        <v/>
      </c>
      <c r="K107" s="30"/>
    </row>
    <row r="108" customFormat="false" ht="19.5" hidden="false" customHeight="true" outlineLevel="0" collapsed="false">
      <c r="A108" s="34"/>
      <c r="B108" s="55"/>
      <c r="C108" s="34"/>
      <c r="D108" s="48" t="str">
        <f aca="false">IFERROR(VLOOKUP(C108,①従業員マスタ!$A$4:$I$56,2,0),"")</f>
        <v/>
      </c>
      <c r="E108" s="56"/>
      <c r="F108" s="56"/>
      <c r="G108" s="36"/>
      <c r="H108" s="57" t="str">
        <f aca="false">IFERROR(IF(AND(E108&lt;&gt;"",F108&lt;&gt;""),(F108-E108)*24-IF(G108&lt;&gt;"",G108,0),""),"")</f>
        <v/>
      </c>
      <c r="I108" s="58" t="str">
        <f aca="false">IFERROR(VLOOKUP(C108,①従業員マスタ!$A$4:$I$56,6,0),"")</f>
        <v/>
      </c>
      <c r="J108" s="57" t="str">
        <f aca="false">IFERROR(IF(AND(H108&lt;&gt;"",I108&lt;&gt;""),MAX(H108-I108,0),""),"")</f>
        <v/>
      </c>
      <c r="K108" s="34"/>
    </row>
    <row r="109" customFormat="false" ht="19.5" hidden="false" customHeight="true" outlineLevel="0" collapsed="false">
      <c r="A109" s="30"/>
      <c r="B109" s="59"/>
      <c r="C109" s="30"/>
      <c r="D109" s="52" t="str">
        <f aca="false">IFERROR(VLOOKUP(C109,①従業員マスタ!$A$4:$I$56,2,0),"")</f>
        <v/>
      </c>
      <c r="E109" s="60"/>
      <c r="F109" s="60"/>
      <c r="G109" s="32"/>
      <c r="H109" s="61" t="str">
        <f aca="false">IFERROR(IF(AND(E109&lt;&gt;"",F109&lt;&gt;""),(F109-E109)*24-IF(G109&lt;&gt;"",G109,0),""),"")</f>
        <v/>
      </c>
      <c r="I109" s="62" t="str">
        <f aca="false">IFERROR(VLOOKUP(C109,①従業員マスタ!$A$4:$I$56,6,0),"")</f>
        <v/>
      </c>
      <c r="J109" s="61" t="str">
        <f aca="false">IFERROR(IF(AND(H109&lt;&gt;"",I109&lt;&gt;""),MAX(H109-I109,0),""),"")</f>
        <v/>
      </c>
      <c r="K109" s="30"/>
    </row>
    <row r="110" customFormat="false" ht="19.5" hidden="false" customHeight="true" outlineLevel="0" collapsed="false">
      <c r="A110" s="34"/>
      <c r="B110" s="55"/>
      <c r="C110" s="34"/>
      <c r="D110" s="48" t="str">
        <f aca="false">IFERROR(VLOOKUP(C110,①従業員マスタ!$A$4:$I$56,2,0),"")</f>
        <v/>
      </c>
      <c r="E110" s="56"/>
      <c r="F110" s="56"/>
      <c r="G110" s="36"/>
      <c r="H110" s="57" t="str">
        <f aca="false">IFERROR(IF(AND(E110&lt;&gt;"",F110&lt;&gt;""),(F110-E110)*24-IF(G110&lt;&gt;"",G110,0),""),"")</f>
        <v/>
      </c>
      <c r="I110" s="58" t="str">
        <f aca="false">IFERROR(VLOOKUP(C110,①従業員マスタ!$A$4:$I$56,6,0),"")</f>
        <v/>
      </c>
      <c r="J110" s="57" t="str">
        <f aca="false">IFERROR(IF(AND(H110&lt;&gt;"",I110&lt;&gt;""),MAX(H110-I110,0),""),"")</f>
        <v/>
      </c>
      <c r="K110" s="34"/>
    </row>
    <row r="111" customFormat="false" ht="19.5" hidden="false" customHeight="true" outlineLevel="0" collapsed="false">
      <c r="A111" s="30"/>
      <c r="B111" s="59"/>
      <c r="C111" s="30"/>
      <c r="D111" s="52" t="str">
        <f aca="false">IFERROR(VLOOKUP(C111,①従業員マスタ!$A$4:$I$56,2,0),"")</f>
        <v/>
      </c>
      <c r="E111" s="60"/>
      <c r="F111" s="60"/>
      <c r="G111" s="32"/>
      <c r="H111" s="61" t="str">
        <f aca="false">IFERROR(IF(AND(E111&lt;&gt;"",F111&lt;&gt;""),(F111-E111)*24-IF(G111&lt;&gt;"",G111,0),""),"")</f>
        <v/>
      </c>
      <c r="I111" s="62" t="str">
        <f aca="false">IFERROR(VLOOKUP(C111,①従業員マスタ!$A$4:$I$56,6,0),"")</f>
        <v/>
      </c>
      <c r="J111" s="61" t="str">
        <f aca="false">IFERROR(IF(AND(H111&lt;&gt;"",I111&lt;&gt;""),MAX(H111-I111,0),""),"")</f>
        <v/>
      </c>
      <c r="K111" s="30"/>
    </row>
    <row r="112" customFormat="false" ht="19.5" hidden="false" customHeight="true" outlineLevel="0" collapsed="false">
      <c r="A112" s="34"/>
      <c r="B112" s="55"/>
      <c r="C112" s="34"/>
      <c r="D112" s="48" t="str">
        <f aca="false">IFERROR(VLOOKUP(C112,①従業員マスタ!$A$4:$I$56,2,0),"")</f>
        <v/>
      </c>
      <c r="E112" s="56"/>
      <c r="F112" s="56"/>
      <c r="G112" s="36"/>
      <c r="H112" s="57" t="str">
        <f aca="false">IFERROR(IF(AND(E112&lt;&gt;"",F112&lt;&gt;""),(F112-E112)*24-IF(G112&lt;&gt;"",G112,0),""),"")</f>
        <v/>
      </c>
      <c r="I112" s="58" t="str">
        <f aca="false">IFERROR(VLOOKUP(C112,①従業員マスタ!$A$4:$I$56,6,0),"")</f>
        <v/>
      </c>
      <c r="J112" s="57" t="str">
        <f aca="false">IFERROR(IF(AND(H112&lt;&gt;"",I112&lt;&gt;""),MAX(H112-I112,0),""),"")</f>
        <v/>
      </c>
      <c r="K112" s="34"/>
    </row>
    <row r="113" customFormat="false" ht="19.5" hidden="false" customHeight="true" outlineLevel="0" collapsed="false">
      <c r="A113" s="30"/>
      <c r="B113" s="59"/>
      <c r="C113" s="30"/>
      <c r="D113" s="52" t="str">
        <f aca="false">IFERROR(VLOOKUP(C113,①従業員マスタ!$A$4:$I$56,2,0),"")</f>
        <v/>
      </c>
      <c r="E113" s="60"/>
      <c r="F113" s="60"/>
      <c r="G113" s="32"/>
      <c r="H113" s="61" t="str">
        <f aca="false">IFERROR(IF(AND(E113&lt;&gt;"",F113&lt;&gt;""),(F113-E113)*24-IF(G113&lt;&gt;"",G113,0),""),"")</f>
        <v/>
      </c>
      <c r="I113" s="62" t="str">
        <f aca="false">IFERROR(VLOOKUP(C113,①従業員マスタ!$A$4:$I$56,6,0),"")</f>
        <v/>
      </c>
      <c r="J113" s="61" t="str">
        <f aca="false">IFERROR(IF(AND(H113&lt;&gt;"",I113&lt;&gt;""),MAX(H113-I113,0),""),"")</f>
        <v/>
      </c>
      <c r="K113" s="30"/>
    </row>
    <row r="114" customFormat="false" ht="19.5" hidden="false" customHeight="true" outlineLevel="0" collapsed="false">
      <c r="A114" s="34"/>
      <c r="B114" s="55"/>
      <c r="C114" s="34"/>
      <c r="D114" s="48" t="str">
        <f aca="false">IFERROR(VLOOKUP(C114,①従業員マスタ!$A$4:$I$56,2,0),"")</f>
        <v/>
      </c>
      <c r="E114" s="56"/>
      <c r="F114" s="56"/>
      <c r="G114" s="36"/>
      <c r="H114" s="57" t="str">
        <f aca="false">IFERROR(IF(AND(E114&lt;&gt;"",F114&lt;&gt;""),(F114-E114)*24-IF(G114&lt;&gt;"",G114,0),""),"")</f>
        <v/>
      </c>
      <c r="I114" s="58" t="str">
        <f aca="false">IFERROR(VLOOKUP(C114,①従業員マスタ!$A$4:$I$56,6,0),"")</f>
        <v/>
      </c>
      <c r="J114" s="57" t="str">
        <f aca="false">IFERROR(IF(AND(H114&lt;&gt;"",I114&lt;&gt;""),MAX(H114-I114,0),""),"")</f>
        <v/>
      </c>
      <c r="K114" s="34"/>
    </row>
    <row r="115" customFormat="false" ht="19.5" hidden="false" customHeight="true" outlineLevel="0" collapsed="false">
      <c r="A115" s="30"/>
      <c r="B115" s="59"/>
      <c r="C115" s="30"/>
      <c r="D115" s="52" t="str">
        <f aca="false">IFERROR(VLOOKUP(C115,①従業員マスタ!$A$4:$I$56,2,0),"")</f>
        <v/>
      </c>
      <c r="E115" s="60"/>
      <c r="F115" s="60"/>
      <c r="G115" s="32"/>
      <c r="H115" s="61" t="str">
        <f aca="false">IFERROR(IF(AND(E115&lt;&gt;"",F115&lt;&gt;""),(F115-E115)*24-IF(G115&lt;&gt;"",G115,0),""),"")</f>
        <v/>
      </c>
      <c r="I115" s="62" t="str">
        <f aca="false">IFERROR(VLOOKUP(C115,①従業員マスタ!$A$4:$I$56,6,0),"")</f>
        <v/>
      </c>
      <c r="J115" s="61" t="str">
        <f aca="false">IFERROR(IF(AND(H115&lt;&gt;"",I115&lt;&gt;""),MAX(H115-I115,0),""),"")</f>
        <v/>
      </c>
      <c r="K115" s="30"/>
    </row>
    <row r="116" customFormat="false" ht="19.5" hidden="false" customHeight="true" outlineLevel="0" collapsed="false">
      <c r="A116" s="34"/>
      <c r="B116" s="55"/>
      <c r="C116" s="34"/>
      <c r="D116" s="48" t="str">
        <f aca="false">IFERROR(VLOOKUP(C116,①従業員マスタ!$A$4:$I$56,2,0),"")</f>
        <v/>
      </c>
      <c r="E116" s="56"/>
      <c r="F116" s="56"/>
      <c r="G116" s="36"/>
      <c r="H116" s="57" t="str">
        <f aca="false">IFERROR(IF(AND(E116&lt;&gt;"",F116&lt;&gt;""),(F116-E116)*24-IF(G116&lt;&gt;"",G116,0),""),"")</f>
        <v/>
      </c>
      <c r="I116" s="58" t="str">
        <f aca="false">IFERROR(VLOOKUP(C116,①従業員マスタ!$A$4:$I$56,6,0),"")</f>
        <v/>
      </c>
      <c r="J116" s="57" t="str">
        <f aca="false">IFERROR(IF(AND(H116&lt;&gt;"",I116&lt;&gt;""),MAX(H116-I116,0),""),"")</f>
        <v/>
      </c>
      <c r="K116" s="34"/>
    </row>
    <row r="117" customFormat="false" ht="19.5" hidden="false" customHeight="true" outlineLevel="0" collapsed="false">
      <c r="A117" s="30"/>
      <c r="B117" s="59"/>
      <c r="C117" s="30"/>
      <c r="D117" s="52" t="str">
        <f aca="false">IFERROR(VLOOKUP(C117,①従業員マスタ!$A$4:$I$56,2,0),"")</f>
        <v/>
      </c>
      <c r="E117" s="60"/>
      <c r="F117" s="60"/>
      <c r="G117" s="32"/>
      <c r="H117" s="61" t="str">
        <f aca="false">IFERROR(IF(AND(E117&lt;&gt;"",F117&lt;&gt;""),(F117-E117)*24-IF(G117&lt;&gt;"",G117,0),""),"")</f>
        <v/>
      </c>
      <c r="I117" s="62" t="str">
        <f aca="false">IFERROR(VLOOKUP(C117,①従業員マスタ!$A$4:$I$56,6,0),"")</f>
        <v/>
      </c>
      <c r="J117" s="61" t="str">
        <f aca="false">IFERROR(IF(AND(H117&lt;&gt;"",I117&lt;&gt;""),MAX(H117-I117,0),""),"")</f>
        <v/>
      </c>
      <c r="K117" s="30"/>
    </row>
    <row r="118" customFormat="false" ht="19.5" hidden="false" customHeight="true" outlineLevel="0" collapsed="false">
      <c r="A118" s="34"/>
      <c r="B118" s="55"/>
      <c r="C118" s="34"/>
      <c r="D118" s="48" t="str">
        <f aca="false">IFERROR(VLOOKUP(C118,①従業員マスタ!$A$4:$I$56,2,0),"")</f>
        <v/>
      </c>
      <c r="E118" s="56"/>
      <c r="F118" s="56"/>
      <c r="G118" s="36"/>
      <c r="H118" s="57" t="str">
        <f aca="false">IFERROR(IF(AND(E118&lt;&gt;"",F118&lt;&gt;""),(F118-E118)*24-IF(G118&lt;&gt;"",G118,0),""),"")</f>
        <v/>
      </c>
      <c r="I118" s="58" t="str">
        <f aca="false">IFERROR(VLOOKUP(C118,①従業員マスタ!$A$4:$I$56,6,0),"")</f>
        <v/>
      </c>
      <c r="J118" s="57" t="str">
        <f aca="false">IFERROR(IF(AND(H118&lt;&gt;"",I118&lt;&gt;""),MAX(H118-I118,0),""),"")</f>
        <v/>
      </c>
      <c r="K118" s="34"/>
    </row>
    <row r="119" customFormat="false" ht="19.5" hidden="false" customHeight="true" outlineLevel="0" collapsed="false">
      <c r="A119" s="30"/>
      <c r="B119" s="59"/>
      <c r="C119" s="30"/>
      <c r="D119" s="52" t="str">
        <f aca="false">IFERROR(VLOOKUP(C119,①従業員マスタ!$A$4:$I$56,2,0),"")</f>
        <v/>
      </c>
      <c r="E119" s="60"/>
      <c r="F119" s="60"/>
      <c r="G119" s="32"/>
      <c r="H119" s="61" t="str">
        <f aca="false">IFERROR(IF(AND(E119&lt;&gt;"",F119&lt;&gt;""),(F119-E119)*24-IF(G119&lt;&gt;"",G119,0),""),"")</f>
        <v/>
      </c>
      <c r="I119" s="62" t="str">
        <f aca="false">IFERROR(VLOOKUP(C119,①従業員マスタ!$A$4:$I$56,6,0),"")</f>
        <v/>
      </c>
      <c r="J119" s="61" t="str">
        <f aca="false">IFERROR(IF(AND(H119&lt;&gt;"",I119&lt;&gt;""),MAX(H119-I119,0),""),"")</f>
        <v/>
      </c>
      <c r="K119" s="30"/>
    </row>
    <row r="120" customFormat="false" ht="19.5" hidden="false" customHeight="true" outlineLevel="0" collapsed="false">
      <c r="A120" s="34"/>
      <c r="B120" s="55"/>
      <c r="C120" s="34"/>
      <c r="D120" s="48" t="str">
        <f aca="false">IFERROR(VLOOKUP(C120,①従業員マスタ!$A$4:$I$56,2,0),"")</f>
        <v/>
      </c>
      <c r="E120" s="56"/>
      <c r="F120" s="56"/>
      <c r="G120" s="36"/>
      <c r="H120" s="57" t="str">
        <f aca="false">IFERROR(IF(AND(E120&lt;&gt;"",F120&lt;&gt;""),(F120-E120)*24-IF(G120&lt;&gt;"",G120,0),""),"")</f>
        <v/>
      </c>
      <c r="I120" s="58" t="str">
        <f aca="false">IFERROR(VLOOKUP(C120,①従業員マスタ!$A$4:$I$56,6,0),"")</f>
        <v/>
      </c>
      <c r="J120" s="57" t="str">
        <f aca="false">IFERROR(IF(AND(H120&lt;&gt;"",I120&lt;&gt;""),MAX(H120-I120,0),""),"")</f>
        <v/>
      </c>
      <c r="K120" s="34"/>
    </row>
    <row r="121" customFormat="false" ht="19.5" hidden="false" customHeight="true" outlineLevel="0" collapsed="false">
      <c r="A121" s="30"/>
      <c r="B121" s="59"/>
      <c r="C121" s="30"/>
      <c r="D121" s="52" t="str">
        <f aca="false">IFERROR(VLOOKUP(C121,①従業員マスタ!$A$4:$I$56,2,0),"")</f>
        <v/>
      </c>
      <c r="E121" s="60"/>
      <c r="F121" s="60"/>
      <c r="G121" s="32"/>
      <c r="H121" s="61" t="str">
        <f aca="false">IFERROR(IF(AND(E121&lt;&gt;"",F121&lt;&gt;""),(F121-E121)*24-IF(G121&lt;&gt;"",G121,0),""),"")</f>
        <v/>
      </c>
      <c r="I121" s="62" t="str">
        <f aca="false">IFERROR(VLOOKUP(C121,①従業員マスタ!$A$4:$I$56,6,0),"")</f>
        <v/>
      </c>
      <c r="J121" s="61" t="str">
        <f aca="false">IFERROR(IF(AND(H121&lt;&gt;"",I121&lt;&gt;""),MAX(H121-I121,0),""),"")</f>
        <v/>
      </c>
      <c r="K121" s="30"/>
    </row>
    <row r="122" customFormat="false" ht="19.5" hidden="false" customHeight="true" outlineLevel="0" collapsed="false">
      <c r="A122" s="34"/>
      <c r="B122" s="55"/>
      <c r="C122" s="34"/>
      <c r="D122" s="48" t="str">
        <f aca="false">IFERROR(VLOOKUP(C122,①従業員マスタ!$A$4:$I$56,2,0),"")</f>
        <v/>
      </c>
      <c r="E122" s="56"/>
      <c r="F122" s="56"/>
      <c r="G122" s="36"/>
      <c r="H122" s="57" t="str">
        <f aca="false">IFERROR(IF(AND(E122&lt;&gt;"",F122&lt;&gt;""),(F122-E122)*24-IF(G122&lt;&gt;"",G122,0),""),"")</f>
        <v/>
      </c>
      <c r="I122" s="58" t="str">
        <f aca="false">IFERROR(VLOOKUP(C122,①従業員マスタ!$A$4:$I$56,6,0),"")</f>
        <v/>
      </c>
      <c r="J122" s="57" t="str">
        <f aca="false">IFERROR(IF(AND(H122&lt;&gt;"",I122&lt;&gt;""),MAX(H122-I122,0),""),"")</f>
        <v/>
      </c>
      <c r="K122" s="34"/>
    </row>
    <row r="123" customFormat="false" ht="19.5" hidden="false" customHeight="true" outlineLevel="0" collapsed="false">
      <c r="A123" s="30"/>
      <c r="B123" s="59"/>
      <c r="C123" s="30"/>
      <c r="D123" s="52" t="str">
        <f aca="false">IFERROR(VLOOKUP(C123,①従業員マスタ!$A$4:$I$56,2,0),"")</f>
        <v/>
      </c>
      <c r="E123" s="60"/>
      <c r="F123" s="60"/>
      <c r="G123" s="32"/>
      <c r="H123" s="61" t="str">
        <f aca="false">IFERROR(IF(AND(E123&lt;&gt;"",F123&lt;&gt;""),(F123-E123)*24-IF(G123&lt;&gt;"",G123,0),""),"")</f>
        <v/>
      </c>
      <c r="I123" s="62" t="str">
        <f aca="false">IFERROR(VLOOKUP(C123,①従業員マスタ!$A$4:$I$56,6,0),"")</f>
        <v/>
      </c>
      <c r="J123" s="61" t="str">
        <f aca="false">IFERROR(IF(AND(H123&lt;&gt;"",I123&lt;&gt;""),MAX(H123-I123,0),""),"")</f>
        <v/>
      </c>
      <c r="K123" s="30"/>
    </row>
    <row r="124" customFormat="false" ht="19.5" hidden="false" customHeight="true" outlineLevel="0" collapsed="false">
      <c r="A124" s="34"/>
      <c r="B124" s="55"/>
      <c r="C124" s="34"/>
      <c r="D124" s="48" t="str">
        <f aca="false">IFERROR(VLOOKUP(C124,①従業員マスタ!$A$4:$I$56,2,0),"")</f>
        <v/>
      </c>
      <c r="E124" s="56"/>
      <c r="F124" s="56"/>
      <c r="G124" s="36"/>
      <c r="H124" s="57" t="str">
        <f aca="false">IFERROR(IF(AND(E124&lt;&gt;"",F124&lt;&gt;""),(F124-E124)*24-IF(G124&lt;&gt;"",G124,0),""),"")</f>
        <v/>
      </c>
      <c r="I124" s="58" t="str">
        <f aca="false">IFERROR(VLOOKUP(C124,①従業員マスタ!$A$4:$I$56,6,0),"")</f>
        <v/>
      </c>
      <c r="J124" s="57" t="str">
        <f aca="false">IFERROR(IF(AND(H124&lt;&gt;"",I124&lt;&gt;""),MAX(H124-I124,0),""),"")</f>
        <v/>
      </c>
      <c r="K124" s="34"/>
    </row>
    <row r="125" customFormat="false" ht="19.5" hidden="false" customHeight="true" outlineLevel="0" collapsed="false">
      <c r="A125" s="30"/>
      <c r="B125" s="59"/>
      <c r="C125" s="30"/>
      <c r="D125" s="52" t="str">
        <f aca="false">IFERROR(VLOOKUP(C125,①従業員マスタ!$A$4:$I$56,2,0),"")</f>
        <v/>
      </c>
      <c r="E125" s="60"/>
      <c r="F125" s="60"/>
      <c r="G125" s="32"/>
      <c r="H125" s="61" t="str">
        <f aca="false">IFERROR(IF(AND(E125&lt;&gt;"",F125&lt;&gt;""),(F125-E125)*24-IF(G125&lt;&gt;"",G125,0),""),"")</f>
        <v/>
      </c>
      <c r="I125" s="62" t="str">
        <f aca="false">IFERROR(VLOOKUP(C125,①従業員マスタ!$A$4:$I$56,6,0),"")</f>
        <v/>
      </c>
      <c r="J125" s="61" t="str">
        <f aca="false">IFERROR(IF(AND(H125&lt;&gt;"",I125&lt;&gt;""),MAX(H125-I125,0),""),"")</f>
        <v/>
      </c>
      <c r="K125" s="30"/>
    </row>
    <row r="126" customFormat="false" ht="19.5" hidden="false" customHeight="true" outlineLevel="0" collapsed="false">
      <c r="A126" s="34"/>
      <c r="B126" s="55"/>
      <c r="C126" s="34"/>
      <c r="D126" s="48" t="str">
        <f aca="false">IFERROR(VLOOKUP(C126,①従業員マスタ!$A$4:$I$56,2,0),"")</f>
        <v/>
      </c>
      <c r="E126" s="56"/>
      <c r="F126" s="56"/>
      <c r="G126" s="36"/>
      <c r="H126" s="57" t="str">
        <f aca="false">IFERROR(IF(AND(E126&lt;&gt;"",F126&lt;&gt;""),(F126-E126)*24-IF(G126&lt;&gt;"",G126,0),""),"")</f>
        <v/>
      </c>
      <c r="I126" s="58" t="str">
        <f aca="false">IFERROR(VLOOKUP(C126,①従業員マスタ!$A$4:$I$56,6,0),"")</f>
        <v/>
      </c>
      <c r="J126" s="57" t="str">
        <f aca="false">IFERROR(IF(AND(H126&lt;&gt;"",I126&lt;&gt;""),MAX(H126-I126,0),""),"")</f>
        <v/>
      </c>
      <c r="K126" s="34"/>
    </row>
    <row r="127" customFormat="false" ht="19.5" hidden="false" customHeight="true" outlineLevel="0" collapsed="false">
      <c r="A127" s="30"/>
      <c r="B127" s="59"/>
      <c r="C127" s="30"/>
      <c r="D127" s="52" t="str">
        <f aca="false">IFERROR(VLOOKUP(C127,①従業員マスタ!$A$4:$I$56,2,0),"")</f>
        <v/>
      </c>
      <c r="E127" s="60"/>
      <c r="F127" s="60"/>
      <c r="G127" s="32"/>
      <c r="H127" s="61" t="str">
        <f aca="false">IFERROR(IF(AND(E127&lt;&gt;"",F127&lt;&gt;""),(F127-E127)*24-IF(G127&lt;&gt;"",G127,0),""),"")</f>
        <v/>
      </c>
      <c r="I127" s="62" t="str">
        <f aca="false">IFERROR(VLOOKUP(C127,①従業員マスタ!$A$4:$I$56,6,0),"")</f>
        <v/>
      </c>
      <c r="J127" s="61" t="str">
        <f aca="false">IFERROR(IF(AND(H127&lt;&gt;"",I127&lt;&gt;""),MAX(H127-I127,0),""),"")</f>
        <v/>
      </c>
      <c r="K127" s="30"/>
    </row>
    <row r="128" customFormat="false" ht="19.5" hidden="false" customHeight="true" outlineLevel="0" collapsed="false">
      <c r="A128" s="34"/>
      <c r="B128" s="55"/>
      <c r="C128" s="34"/>
      <c r="D128" s="48" t="str">
        <f aca="false">IFERROR(VLOOKUP(C128,①従業員マスタ!$A$4:$I$56,2,0),"")</f>
        <v/>
      </c>
      <c r="E128" s="56"/>
      <c r="F128" s="56"/>
      <c r="G128" s="36"/>
      <c r="H128" s="57" t="str">
        <f aca="false">IFERROR(IF(AND(E128&lt;&gt;"",F128&lt;&gt;""),(F128-E128)*24-IF(G128&lt;&gt;"",G128,0),""),"")</f>
        <v/>
      </c>
      <c r="I128" s="58" t="str">
        <f aca="false">IFERROR(VLOOKUP(C128,①従業員マスタ!$A$4:$I$56,6,0),"")</f>
        <v/>
      </c>
      <c r="J128" s="57" t="str">
        <f aca="false">IFERROR(IF(AND(H128&lt;&gt;"",I128&lt;&gt;""),MAX(H128-I128,0),""),"")</f>
        <v/>
      </c>
      <c r="K128" s="34"/>
    </row>
    <row r="129" customFormat="false" ht="19.5" hidden="false" customHeight="true" outlineLevel="0" collapsed="false">
      <c r="A129" s="30"/>
      <c r="B129" s="59"/>
      <c r="C129" s="30"/>
      <c r="D129" s="52" t="str">
        <f aca="false">IFERROR(VLOOKUP(C129,①従業員マスタ!$A$4:$I$56,2,0),"")</f>
        <v/>
      </c>
      <c r="E129" s="60"/>
      <c r="F129" s="60"/>
      <c r="G129" s="32"/>
      <c r="H129" s="61" t="str">
        <f aca="false">IFERROR(IF(AND(E129&lt;&gt;"",F129&lt;&gt;""),(F129-E129)*24-IF(G129&lt;&gt;"",G129,0),""),"")</f>
        <v/>
      </c>
      <c r="I129" s="62" t="str">
        <f aca="false">IFERROR(VLOOKUP(C129,①従業員マスタ!$A$4:$I$56,6,0),"")</f>
        <v/>
      </c>
      <c r="J129" s="61" t="str">
        <f aca="false">IFERROR(IF(AND(H129&lt;&gt;"",I129&lt;&gt;""),MAX(H129-I129,0),""),"")</f>
        <v/>
      </c>
      <c r="K129" s="30"/>
    </row>
    <row r="130" customFormat="false" ht="19.5" hidden="false" customHeight="true" outlineLevel="0" collapsed="false">
      <c r="A130" s="34"/>
      <c r="B130" s="55"/>
      <c r="C130" s="34"/>
      <c r="D130" s="48" t="str">
        <f aca="false">IFERROR(VLOOKUP(C130,①従業員マスタ!$A$4:$I$56,2,0),"")</f>
        <v/>
      </c>
      <c r="E130" s="56"/>
      <c r="F130" s="56"/>
      <c r="G130" s="36"/>
      <c r="H130" s="57" t="str">
        <f aca="false">IFERROR(IF(AND(E130&lt;&gt;"",F130&lt;&gt;""),(F130-E130)*24-IF(G130&lt;&gt;"",G130,0),""),"")</f>
        <v/>
      </c>
      <c r="I130" s="58" t="str">
        <f aca="false">IFERROR(VLOOKUP(C130,①従業員マスタ!$A$4:$I$56,6,0),"")</f>
        <v/>
      </c>
      <c r="J130" s="57" t="str">
        <f aca="false">IFERROR(IF(AND(H130&lt;&gt;"",I130&lt;&gt;""),MAX(H130-I130,0),""),"")</f>
        <v/>
      </c>
      <c r="K130" s="34"/>
    </row>
    <row r="131" customFormat="false" ht="19.5" hidden="false" customHeight="true" outlineLevel="0" collapsed="false">
      <c r="A131" s="30"/>
      <c r="B131" s="59"/>
      <c r="C131" s="30"/>
      <c r="D131" s="52" t="str">
        <f aca="false">IFERROR(VLOOKUP(C131,①従業員マスタ!$A$4:$I$56,2,0),"")</f>
        <v/>
      </c>
      <c r="E131" s="60"/>
      <c r="F131" s="60"/>
      <c r="G131" s="32"/>
      <c r="H131" s="61" t="str">
        <f aca="false">IFERROR(IF(AND(E131&lt;&gt;"",F131&lt;&gt;""),(F131-E131)*24-IF(G131&lt;&gt;"",G131,0),""),"")</f>
        <v/>
      </c>
      <c r="I131" s="62" t="str">
        <f aca="false">IFERROR(VLOOKUP(C131,①従業員マスタ!$A$4:$I$56,6,0),"")</f>
        <v/>
      </c>
      <c r="J131" s="61" t="str">
        <f aca="false">IFERROR(IF(AND(H131&lt;&gt;"",I131&lt;&gt;""),MAX(H131-I131,0),""),"")</f>
        <v/>
      </c>
      <c r="K131" s="30"/>
    </row>
    <row r="132" customFormat="false" ht="19.5" hidden="false" customHeight="true" outlineLevel="0" collapsed="false">
      <c r="A132" s="34"/>
      <c r="B132" s="55"/>
      <c r="C132" s="34"/>
      <c r="D132" s="48" t="str">
        <f aca="false">IFERROR(VLOOKUP(C132,①従業員マスタ!$A$4:$I$56,2,0),"")</f>
        <v/>
      </c>
      <c r="E132" s="56"/>
      <c r="F132" s="56"/>
      <c r="G132" s="36"/>
      <c r="H132" s="57" t="str">
        <f aca="false">IFERROR(IF(AND(E132&lt;&gt;"",F132&lt;&gt;""),(F132-E132)*24-IF(G132&lt;&gt;"",G132,0),""),"")</f>
        <v/>
      </c>
      <c r="I132" s="58" t="str">
        <f aca="false">IFERROR(VLOOKUP(C132,①従業員マスタ!$A$4:$I$56,6,0),"")</f>
        <v/>
      </c>
      <c r="J132" s="57" t="str">
        <f aca="false">IFERROR(IF(AND(H132&lt;&gt;"",I132&lt;&gt;""),MAX(H132-I132,0),""),"")</f>
        <v/>
      </c>
      <c r="K132" s="34"/>
    </row>
    <row r="133" customFormat="false" ht="19.5" hidden="false" customHeight="true" outlineLevel="0" collapsed="false">
      <c r="A133" s="30"/>
      <c r="B133" s="59"/>
      <c r="C133" s="30"/>
      <c r="D133" s="52" t="str">
        <f aca="false">IFERROR(VLOOKUP(C133,①従業員マスタ!$A$4:$I$56,2,0),"")</f>
        <v/>
      </c>
      <c r="E133" s="60"/>
      <c r="F133" s="60"/>
      <c r="G133" s="32"/>
      <c r="H133" s="61" t="str">
        <f aca="false">IFERROR(IF(AND(E133&lt;&gt;"",F133&lt;&gt;""),(F133-E133)*24-IF(G133&lt;&gt;"",G133,0),""),"")</f>
        <v/>
      </c>
      <c r="I133" s="62" t="str">
        <f aca="false">IFERROR(VLOOKUP(C133,①従業員マスタ!$A$4:$I$56,6,0),"")</f>
        <v/>
      </c>
      <c r="J133" s="61" t="str">
        <f aca="false">IFERROR(IF(AND(H133&lt;&gt;"",I133&lt;&gt;""),MAX(H133-I133,0),""),"")</f>
        <v/>
      </c>
      <c r="K133" s="30"/>
    </row>
    <row r="134" customFormat="false" ht="19.5" hidden="false" customHeight="true" outlineLevel="0" collapsed="false">
      <c r="A134" s="34"/>
      <c r="B134" s="55"/>
      <c r="C134" s="34"/>
      <c r="D134" s="48" t="str">
        <f aca="false">IFERROR(VLOOKUP(C134,①従業員マスタ!$A$4:$I$56,2,0),"")</f>
        <v/>
      </c>
      <c r="E134" s="56"/>
      <c r="F134" s="56"/>
      <c r="G134" s="36"/>
      <c r="H134" s="57" t="str">
        <f aca="false">IFERROR(IF(AND(E134&lt;&gt;"",F134&lt;&gt;""),(F134-E134)*24-IF(G134&lt;&gt;"",G134,0),""),"")</f>
        <v/>
      </c>
      <c r="I134" s="58" t="str">
        <f aca="false">IFERROR(VLOOKUP(C134,①従業員マスタ!$A$4:$I$56,6,0),"")</f>
        <v/>
      </c>
      <c r="J134" s="57" t="str">
        <f aca="false">IFERROR(IF(AND(H134&lt;&gt;"",I134&lt;&gt;""),MAX(H134-I134,0),""),"")</f>
        <v/>
      </c>
      <c r="K134" s="34"/>
    </row>
    <row r="135" customFormat="false" ht="19.5" hidden="false" customHeight="true" outlineLevel="0" collapsed="false">
      <c r="A135" s="30"/>
      <c r="B135" s="59"/>
      <c r="C135" s="30"/>
      <c r="D135" s="52" t="str">
        <f aca="false">IFERROR(VLOOKUP(C135,①従業員マスタ!$A$4:$I$56,2,0),"")</f>
        <v/>
      </c>
      <c r="E135" s="60"/>
      <c r="F135" s="60"/>
      <c r="G135" s="32"/>
      <c r="H135" s="61" t="str">
        <f aca="false">IFERROR(IF(AND(E135&lt;&gt;"",F135&lt;&gt;""),(F135-E135)*24-IF(G135&lt;&gt;"",G135,0),""),"")</f>
        <v/>
      </c>
      <c r="I135" s="62" t="str">
        <f aca="false">IFERROR(VLOOKUP(C135,①従業員マスタ!$A$4:$I$56,6,0),"")</f>
        <v/>
      </c>
      <c r="J135" s="61" t="str">
        <f aca="false">IFERROR(IF(AND(H135&lt;&gt;"",I135&lt;&gt;""),MAX(H135-I135,0),""),"")</f>
        <v/>
      </c>
      <c r="K135" s="30"/>
    </row>
    <row r="136" customFormat="false" ht="19.5" hidden="false" customHeight="true" outlineLevel="0" collapsed="false">
      <c r="A136" s="34"/>
      <c r="B136" s="55"/>
      <c r="C136" s="34"/>
      <c r="D136" s="48" t="str">
        <f aca="false">IFERROR(VLOOKUP(C136,①従業員マスタ!$A$4:$I$56,2,0),"")</f>
        <v/>
      </c>
      <c r="E136" s="56"/>
      <c r="F136" s="56"/>
      <c r="G136" s="36"/>
      <c r="H136" s="57" t="str">
        <f aca="false">IFERROR(IF(AND(E136&lt;&gt;"",F136&lt;&gt;""),(F136-E136)*24-IF(G136&lt;&gt;"",G136,0),""),"")</f>
        <v/>
      </c>
      <c r="I136" s="58" t="str">
        <f aca="false">IFERROR(VLOOKUP(C136,①従業員マスタ!$A$4:$I$56,6,0),"")</f>
        <v/>
      </c>
      <c r="J136" s="57" t="str">
        <f aca="false">IFERROR(IF(AND(H136&lt;&gt;"",I136&lt;&gt;""),MAX(H136-I136,0),""),"")</f>
        <v/>
      </c>
      <c r="K136" s="34"/>
    </row>
    <row r="137" customFormat="false" ht="19.5" hidden="false" customHeight="true" outlineLevel="0" collapsed="false">
      <c r="A137" s="30"/>
      <c r="B137" s="59"/>
      <c r="C137" s="30"/>
      <c r="D137" s="52" t="str">
        <f aca="false">IFERROR(VLOOKUP(C137,①従業員マスタ!$A$4:$I$56,2,0),"")</f>
        <v/>
      </c>
      <c r="E137" s="60"/>
      <c r="F137" s="60"/>
      <c r="G137" s="32"/>
      <c r="H137" s="61" t="str">
        <f aca="false">IFERROR(IF(AND(E137&lt;&gt;"",F137&lt;&gt;""),(F137-E137)*24-IF(G137&lt;&gt;"",G137,0),""),"")</f>
        <v/>
      </c>
      <c r="I137" s="62" t="str">
        <f aca="false">IFERROR(VLOOKUP(C137,①従業員マスタ!$A$4:$I$56,6,0),"")</f>
        <v/>
      </c>
      <c r="J137" s="61" t="str">
        <f aca="false">IFERROR(IF(AND(H137&lt;&gt;"",I137&lt;&gt;""),MAX(H137-I137,0),""),"")</f>
        <v/>
      </c>
      <c r="K137" s="30"/>
    </row>
    <row r="138" customFormat="false" ht="19.5" hidden="false" customHeight="true" outlineLevel="0" collapsed="false">
      <c r="A138" s="34"/>
      <c r="B138" s="55"/>
      <c r="C138" s="34"/>
      <c r="D138" s="48" t="str">
        <f aca="false">IFERROR(VLOOKUP(C138,①従業員マスタ!$A$4:$I$56,2,0),"")</f>
        <v/>
      </c>
      <c r="E138" s="56"/>
      <c r="F138" s="56"/>
      <c r="G138" s="36"/>
      <c r="H138" s="57" t="str">
        <f aca="false">IFERROR(IF(AND(E138&lt;&gt;"",F138&lt;&gt;""),(F138-E138)*24-IF(G138&lt;&gt;"",G138,0),""),"")</f>
        <v/>
      </c>
      <c r="I138" s="58" t="str">
        <f aca="false">IFERROR(VLOOKUP(C138,①従業員マスタ!$A$4:$I$56,6,0),"")</f>
        <v/>
      </c>
      <c r="J138" s="57" t="str">
        <f aca="false">IFERROR(IF(AND(H138&lt;&gt;"",I138&lt;&gt;""),MAX(H138-I138,0),""),"")</f>
        <v/>
      </c>
      <c r="K138" s="34"/>
    </row>
    <row r="139" customFormat="false" ht="19.5" hidden="false" customHeight="true" outlineLevel="0" collapsed="false">
      <c r="A139" s="30"/>
      <c r="B139" s="59"/>
      <c r="C139" s="30"/>
      <c r="D139" s="52" t="str">
        <f aca="false">IFERROR(VLOOKUP(C139,①従業員マスタ!$A$4:$I$56,2,0),"")</f>
        <v/>
      </c>
      <c r="E139" s="60"/>
      <c r="F139" s="60"/>
      <c r="G139" s="32"/>
      <c r="H139" s="61" t="str">
        <f aca="false">IFERROR(IF(AND(E139&lt;&gt;"",F139&lt;&gt;""),(F139-E139)*24-IF(G139&lt;&gt;"",G139,0),""),"")</f>
        <v/>
      </c>
      <c r="I139" s="62" t="str">
        <f aca="false">IFERROR(VLOOKUP(C139,①従業員マスタ!$A$4:$I$56,6,0),"")</f>
        <v/>
      </c>
      <c r="J139" s="61" t="str">
        <f aca="false">IFERROR(IF(AND(H139&lt;&gt;"",I139&lt;&gt;""),MAX(H139-I139,0),""),"")</f>
        <v/>
      </c>
      <c r="K139" s="30"/>
    </row>
    <row r="140" customFormat="false" ht="19.5" hidden="false" customHeight="true" outlineLevel="0" collapsed="false">
      <c r="A140" s="34"/>
      <c r="B140" s="55"/>
      <c r="C140" s="34"/>
      <c r="D140" s="48" t="str">
        <f aca="false">IFERROR(VLOOKUP(C140,①従業員マスタ!$A$4:$I$56,2,0),"")</f>
        <v/>
      </c>
      <c r="E140" s="56"/>
      <c r="F140" s="56"/>
      <c r="G140" s="36"/>
      <c r="H140" s="57" t="str">
        <f aca="false">IFERROR(IF(AND(E140&lt;&gt;"",F140&lt;&gt;""),(F140-E140)*24-IF(G140&lt;&gt;"",G140,0),""),"")</f>
        <v/>
      </c>
      <c r="I140" s="58" t="str">
        <f aca="false">IFERROR(VLOOKUP(C140,①従業員マスタ!$A$4:$I$56,6,0),"")</f>
        <v/>
      </c>
      <c r="J140" s="57" t="str">
        <f aca="false">IFERROR(IF(AND(H140&lt;&gt;"",I140&lt;&gt;""),MAX(H140-I140,0),""),"")</f>
        <v/>
      </c>
      <c r="K140" s="34"/>
    </row>
    <row r="141" customFormat="false" ht="19.5" hidden="false" customHeight="true" outlineLevel="0" collapsed="false">
      <c r="A141" s="30"/>
      <c r="B141" s="59"/>
      <c r="C141" s="30"/>
      <c r="D141" s="52" t="str">
        <f aca="false">IFERROR(VLOOKUP(C141,①従業員マスタ!$A$4:$I$56,2,0),"")</f>
        <v/>
      </c>
      <c r="E141" s="60"/>
      <c r="F141" s="60"/>
      <c r="G141" s="32"/>
      <c r="H141" s="61" t="str">
        <f aca="false">IFERROR(IF(AND(E141&lt;&gt;"",F141&lt;&gt;""),(F141-E141)*24-IF(G141&lt;&gt;"",G141,0),""),"")</f>
        <v/>
      </c>
      <c r="I141" s="62" t="str">
        <f aca="false">IFERROR(VLOOKUP(C141,①従業員マスタ!$A$4:$I$56,6,0),"")</f>
        <v/>
      </c>
      <c r="J141" s="61" t="str">
        <f aca="false">IFERROR(IF(AND(H141&lt;&gt;"",I141&lt;&gt;""),MAX(H141-I141,0),""),"")</f>
        <v/>
      </c>
      <c r="K141" s="30"/>
    </row>
    <row r="142" customFormat="false" ht="19.5" hidden="false" customHeight="true" outlineLevel="0" collapsed="false">
      <c r="A142" s="34"/>
      <c r="B142" s="55"/>
      <c r="C142" s="34"/>
      <c r="D142" s="48" t="str">
        <f aca="false">IFERROR(VLOOKUP(C142,①従業員マスタ!$A$4:$I$56,2,0),"")</f>
        <v/>
      </c>
      <c r="E142" s="56"/>
      <c r="F142" s="56"/>
      <c r="G142" s="36"/>
      <c r="H142" s="57" t="str">
        <f aca="false">IFERROR(IF(AND(E142&lt;&gt;"",F142&lt;&gt;""),(F142-E142)*24-IF(G142&lt;&gt;"",G142,0),""),"")</f>
        <v/>
      </c>
      <c r="I142" s="58" t="str">
        <f aca="false">IFERROR(VLOOKUP(C142,①従業員マスタ!$A$4:$I$56,6,0),"")</f>
        <v/>
      </c>
      <c r="J142" s="57" t="str">
        <f aca="false">IFERROR(IF(AND(H142&lt;&gt;"",I142&lt;&gt;""),MAX(H142-I142,0),""),"")</f>
        <v/>
      </c>
      <c r="K142" s="34"/>
    </row>
    <row r="143" customFormat="false" ht="19.5" hidden="false" customHeight="true" outlineLevel="0" collapsed="false">
      <c r="A143" s="30"/>
      <c r="B143" s="59"/>
      <c r="C143" s="30"/>
      <c r="D143" s="52" t="str">
        <f aca="false">IFERROR(VLOOKUP(C143,①従業員マスタ!$A$4:$I$56,2,0),"")</f>
        <v/>
      </c>
      <c r="E143" s="60"/>
      <c r="F143" s="60"/>
      <c r="G143" s="32"/>
      <c r="H143" s="61" t="str">
        <f aca="false">IFERROR(IF(AND(E143&lt;&gt;"",F143&lt;&gt;""),(F143-E143)*24-IF(G143&lt;&gt;"",G143,0),""),"")</f>
        <v/>
      </c>
      <c r="I143" s="62" t="str">
        <f aca="false">IFERROR(VLOOKUP(C143,①従業員マスタ!$A$4:$I$56,6,0),"")</f>
        <v/>
      </c>
      <c r="J143" s="61" t="str">
        <f aca="false">IFERROR(IF(AND(H143&lt;&gt;"",I143&lt;&gt;""),MAX(H143-I143,0),""),"")</f>
        <v/>
      </c>
      <c r="K143" s="30"/>
    </row>
    <row r="144" customFormat="false" ht="19.5" hidden="false" customHeight="true" outlineLevel="0" collapsed="false">
      <c r="A144" s="34"/>
      <c r="B144" s="55"/>
      <c r="C144" s="34"/>
      <c r="D144" s="48" t="str">
        <f aca="false">IFERROR(VLOOKUP(C144,①従業員マスタ!$A$4:$I$56,2,0),"")</f>
        <v/>
      </c>
      <c r="E144" s="56"/>
      <c r="F144" s="56"/>
      <c r="G144" s="36"/>
      <c r="H144" s="57" t="str">
        <f aca="false">IFERROR(IF(AND(E144&lt;&gt;"",F144&lt;&gt;""),(F144-E144)*24-IF(G144&lt;&gt;"",G144,0),""),"")</f>
        <v/>
      </c>
      <c r="I144" s="58" t="str">
        <f aca="false">IFERROR(VLOOKUP(C144,①従業員マスタ!$A$4:$I$56,6,0),"")</f>
        <v/>
      </c>
      <c r="J144" s="57" t="str">
        <f aca="false">IFERROR(IF(AND(H144&lt;&gt;"",I144&lt;&gt;""),MAX(H144-I144,0),""),"")</f>
        <v/>
      </c>
      <c r="K144" s="34"/>
    </row>
    <row r="145" customFormat="false" ht="19.5" hidden="false" customHeight="true" outlineLevel="0" collapsed="false">
      <c r="A145" s="30"/>
      <c r="B145" s="59"/>
      <c r="C145" s="30"/>
      <c r="D145" s="52" t="str">
        <f aca="false">IFERROR(VLOOKUP(C145,①従業員マスタ!$A$4:$I$56,2,0),"")</f>
        <v/>
      </c>
      <c r="E145" s="60"/>
      <c r="F145" s="60"/>
      <c r="G145" s="32"/>
      <c r="H145" s="61" t="str">
        <f aca="false">IFERROR(IF(AND(E145&lt;&gt;"",F145&lt;&gt;""),(F145-E145)*24-IF(G145&lt;&gt;"",G145,0),""),"")</f>
        <v/>
      </c>
      <c r="I145" s="62" t="str">
        <f aca="false">IFERROR(VLOOKUP(C145,①従業員マスタ!$A$4:$I$56,6,0),"")</f>
        <v/>
      </c>
      <c r="J145" s="61" t="str">
        <f aca="false">IFERROR(IF(AND(H145&lt;&gt;"",I145&lt;&gt;""),MAX(H145-I145,0),""),"")</f>
        <v/>
      </c>
      <c r="K145" s="30"/>
    </row>
    <row r="146" customFormat="false" ht="19.5" hidden="false" customHeight="true" outlineLevel="0" collapsed="false">
      <c r="A146" s="34"/>
      <c r="B146" s="55"/>
      <c r="C146" s="34"/>
      <c r="D146" s="48" t="str">
        <f aca="false">IFERROR(VLOOKUP(C146,①従業員マスタ!$A$4:$I$56,2,0),"")</f>
        <v/>
      </c>
      <c r="E146" s="56"/>
      <c r="F146" s="56"/>
      <c r="G146" s="36"/>
      <c r="H146" s="57" t="str">
        <f aca="false">IFERROR(IF(AND(E146&lt;&gt;"",F146&lt;&gt;""),(F146-E146)*24-IF(G146&lt;&gt;"",G146,0),""),"")</f>
        <v/>
      </c>
      <c r="I146" s="58" t="str">
        <f aca="false">IFERROR(VLOOKUP(C146,①従業員マスタ!$A$4:$I$56,6,0),"")</f>
        <v/>
      </c>
      <c r="J146" s="57" t="str">
        <f aca="false">IFERROR(IF(AND(H146&lt;&gt;"",I146&lt;&gt;""),MAX(H146-I146,0),""),"")</f>
        <v/>
      </c>
      <c r="K146" s="34"/>
    </row>
    <row r="147" customFormat="false" ht="19.5" hidden="false" customHeight="true" outlineLevel="0" collapsed="false">
      <c r="A147" s="30"/>
      <c r="B147" s="59"/>
      <c r="C147" s="30"/>
      <c r="D147" s="52" t="str">
        <f aca="false">IFERROR(VLOOKUP(C147,①従業員マスタ!$A$4:$I$56,2,0),"")</f>
        <v/>
      </c>
      <c r="E147" s="60"/>
      <c r="F147" s="60"/>
      <c r="G147" s="32"/>
      <c r="H147" s="61" t="str">
        <f aca="false">IFERROR(IF(AND(E147&lt;&gt;"",F147&lt;&gt;""),(F147-E147)*24-IF(G147&lt;&gt;"",G147,0),""),"")</f>
        <v/>
      </c>
      <c r="I147" s="62" t="str">
        <f aca="false">IFERROR(VLOOKUP(C147,①従業員マスタ!$A$4:$I$56,6,0),"")</f>
        <v/>
      </c>
      <c r="J147" s="61" t="str">
        <f aca="false">IFERROR(IF(AND(H147&lt;&gt;"",I147&lt;&gt;""),MAX(H147-I147,0),""),"")</f>
        <v/>
      </c>
      <c r="K147" s="30"/>
    </row>
    <row r="148" customFormat="false" ht="19.5" hidden="false" customHeight="true" outlineLevel="0" collapsed="false">
      <c r="A148" s="34"/>
      <c r="B148" s="55"/>
      <c r="C148" s="34"/>
      <c r="D148" s="48" t="str">
        <f aca="false">IFERROR(VLOOKUP(C148,①従業員マスタ!$A$4:$I$56,2,0),"")</f>
        <v/>
      </c>
      <c r="E148" s="56"/>
      <c r="F148" s="56"/>
      <c r="G148" s="36"/>
      <c r="H148" s="57" t="str">
        <f aca="false">IFERROR(IF(AND(E148&lt;&gt;"",F148&lt;&gt;""),(F148-E148)*24-IF(G148&lt;&gt;"",G148,0),""),"")</f>
        <v/>
      </c>
      <c r="I148" s="58" t="str">
        <f aca="false">IFERROR(VLOOKUP(C148,①従業員マスタ!$A$4:$I$56,6,0),"")</f>
        <v/>
      </c>
      <c r="J148" s="57" t="str">
        <f aca="false">IFERROR(IF(AND(H148&lt;&gt;"",I148&lt;&gt;""),MAX(H148-I148,0),""),"")</f>
        <v/>
      </c>
      <c r="K148" s="34"/>
    </row>
    <row r="149" customFormat="false" ht="19.5" hidden="false" customHeight="true" outlineLevel="0" collapsed="false">
      <c r="A149" s="30"/>
      <c r="B149" s="59"/>
      <c r="C149" s="30"/>
      <c r="D149" s="52" t="str">
        <f aca="false">IFERROR(VLOOKUP(C149,①従業員マスタ!$A$4:$I$56,2,0),"")</f>
        <v/>
      </c>
      <c r="E149" s="60"/>
      <c r="F149" s="60"/>
      <c r="G149" s="32"/>
      <c r="H149" s="61" t="str">
        <f aca="false">IFERROR(IF(AND(E149&lt;&gt;"",F149&lt;&gt;""),(F149-E149)*24-IF(G149&lt;&gt;"",G149,0),""),"")</f>
        <v/>
      </c>
      <c r="I149" s="62" t="str">
        <f aca="false">IFERROR(VLOOKUP(C149,①従業員マスタ!$A$4:$I$56,6,0),"")</f>
        <v/>
      </c>
      <c r="J149" s="61" t="str">
        <f aca="false">IFERROR(IF(AND(H149&lt;&gt;"",I149&lt;&gt;""),MAX(H149-I149,0),""),"")</f>
        <v/>
      </c>
      <c r="K149" s="30"/>
    </row>
    <row r="150" customFormat="false" ht="19.5" hidden="false" customHeight="true" outlineLevel="0" collapsed="false">
      <c r="A150" s="34"/>
      <c r="B150" s="55"/>
      <c r="C150" s="34"/>
      <c r="D150" s="48" t="str">
        <f aca="false">IFERROR(VLOOKUP(C150,①従業員マスタ!$A$4:$I$56,2,0),"")</f>
        <v/>
      </c>
      <c r="E150" s="56"/>
      <c r="F150" s="56"/>
      <c r="G150" s="36"/>
      <c r="H150" s="57" t="str">
        <f aca="false">IFERROR(IF(AND(E150&lt;&gt;"",F150&lt;&gt;""),(F150-E150)*24-IF(G150&lt;&gt;"",G150,0),""),"")</f>
        <v/>
      </c>
      <c r="I150" s="58" t="str">
        <f aca="false">IFERROR(VLOOKUP(C150,①従業員マスタ!$A$4:$I$56,6,0),"")</f>
        <v/>
      </c>
      <c r="J150" s="57" t="str">
        <f aca="false">IFERROR(IF(AND(H150&lt;&gt;"",I150&lt;&gt;""),MAX(H150-I150,0),""),"")</f>
        <v/>
      </c>
      <c r="K150" s="34"/>
    </row>
    <row r="151" customFormat="false" ht="19.5" hidden="false" customHeight="true" outlineLevel="0" collapsed="false">
      <c r="A151" s="30"/>
      <c r="B151" s="59"/>
      <c r="C151" s="30"/>
      <c r="D151" s="52" t="str">
        <f aca="false">IFERROR(VLOOKUP(C151,①従業員マスタ!$A$4:$I$56,2,0),"")</f>
        <v/>
      </c>
      <c r="E151" s="60"/>
      <c r="F151" s="60"/>
      <c r="G151" s="32"/>
      <c r="H151" s="61" t="str">
        <f aca="false">IFERROR(IF(AND(E151&lt;&gt;"",F151&lt;&gt;""),(F151-E151)*24-IF(G151&lt;&gt;"",G151,0),""),"")</f>
        <v/>
      </c>
      <c r="I151" s="62" t="str">
        <f aca="false">IFERROR(VLOOKUP(C151,①従業員マスタ!$A$4:$I$56,6,0),"")</f>
        <v/>
      </c>
      <c r="J151" s="61" t="str">
        <f aca="false">IFERROR(IF(AND(H151&lt;&gt;"",I151&lt;&gt;""),MAX(H151-I151,0),""),"")</f>
        <v/>
      </c>
      <c r="K151" s="30"/>
    </row>
    <row r="152" customFormat="false" ht="19.5" hidden="false" customHeight="true" outlineLevel="0" collapsed="false">
      <c r="A152" s="34"/>
      <c r="B152" s="55"/>
      <c r="C152" s="34"/>
      <c r="D152" s="48" t="str">
        <f aca="false">IFERROR(VLOOKUP(C152,①従業員マスタ!$A$4:$I$56,2,0),"")</f>
        <v/>
      </c>
      <c r="E152" s="56"/>
      <c r="F152" s="56"/>
      <c r="G152" s="36"/>
      <c r="H152" s="57" t="str">
        <f aca="false">IFERROR(IF(AND(E152&lt;&gt;"",F152&lt;&gt;""),(F152-E152)*24-IF(G152&lt;&gt;"",G152,0),""),"")</f>
        <v/>
      </c>
      <c r="I152" s="58" t="str">
        <f aca="false">IFERROR(VLOOKUP(C152,①従業員マスタ!$A$4:$I$56,6,0),"")</f>
        <v/>
      </c>
      <c r="J152" s="57" t="str">
        <f aca="false">IFERROR(IF(AND(H152&lt;&gt;"",I152&lt;&gt;""),MAX(H152-I152,0),""),"")</f>
        <v/>
      </c>
      <c r="K152" s="34"/>
    </row>
    <row r="153" customFormat="false" ht="19.5" hidden="false" customHeight="true" outlineLevel="0" collapsed="false">
      <c r="A153" s="30"/>
      <c r="B153" s="59"/>
      <c r="C153" s="30"/>
      <c r="D153" s="52" t="str">
        <f aca="false">IFERROR(VLOOKUP(C153,①従業員マスタ!$A$4:$I$56,2,0),"")</f>
        <v/>
      </c>
      <c r="E153" s="60"/>
      <c r="F153" s="60"/>
      <c r="G153" s="32"/>
      <c r="H153" s="61" t="str">
        <f aca="false">IFERROR(IF(AND(E153&lt;&gt;"",F153&lt;&gt;""),(F153-E153)*24-IF(G153&lt;&gt;"",G153,0),""),"")</f>
        <v/>
      </c>
      <c r="I153" s="62" t="str">
        <f aca="false">IFERROR(VLOOKUP(C153,①従業員マスタ!$A$4:$I$56,6,0),"")</f>
        <v/>
      </c>
      <c r="J153" s="61" t="str">
        <f aca="false">IFERROR(IF(AND(H153&lt;&gt;"",I153&lt;&gt;""),MAX(H153-I153,0),""),"")</f>
        <v/>
      </c>
      <c r="K153" s="30"/>
    </row>
    <row r="154" customFormat="false" ht="19.5" hidden="false" customHeight="true" outlineLevel="0" collapsed="false">
      <c r="A154" s="34"/>
      <c r="B154" s="55"/>
      <c r="C154" s="34"/>
      <c r="D154" s="48" t="str">
        <f aca="false">IFERROR(VLOOKUP(C154,①従業員マスタ!$A$4:$I$56,2,0),"")</f>
        <v/>
      </c>
      <c r="E154" s="56"/>
      <c r="F154" s="56"/>
      <c r="G154" s="36"/>
      <c r="H154" s="57" t="str">
        <f aca="false">IFERROR(IF(AND(E154&lt;&gt;"",F154&lt;&gt;""),(F154-E154)*24-IF(G154&lt;&gt;"",G154,0),""),"")</f>
        <v/>
      </c>
      <c r="I154" s="58" t="str">
        <f aca="false">IFERROR(VLOOKUP(C154,①従業員マスタ!$A$4:$I$56,6,0),"")</f>
        <v/>
      </c>
      <c r="J154" s="57" t="str">
        <f aca="false">IFERROR(IF(AND(H154&lt;&gt;"",I154&lt;&gt;""),MAX(H154-I154,0),""),"")</f>
        <v/>
      </c>
      <c r="K154" s="34"/>
    </row>
    <row r="155" customFormat="false" ht="19.5" hidden="false" customHeight="true" outlineLevel="0" collapsed="false">
      <c r="A155" s="30"/>
      <c r="B155" s="59"/>
      <c r="C155" s="30"/>
      <c r="D155" s="52" t="str">
        <f aca="false">IFERROR(VLOOKUP(C155,①従業員マスタ!$A$4:$I$56,2,0),"")</f>
        <v/>
      </c>
      <c r="E155" s="60"/>
      <c r="F155" s="60"/>
      <c r="G155" s="32"/>
      <c r="H155" s="61" t="str">
        <f aca="false">IFERROR(IF(AND(E155&lt;&gt;"",F155&lt;&gt;""),(F155-E155)*24-IF(G155&lt;&gt;"",G155,0),""),"")</f>
        <v/>
      </c>
      <c r="I155" s="62" t="str">
        <f aca="false">IFERROR(VLOOKUP(C155,①従業員マスタ!$A$4:$I$56,6,0),"")</f>
        <v/>
      </c>
      <c r="J155" s="61" t="str">
        <f aca="false">IFERROR(IF(AND(H155&lt;&gt;"",I155&lt;&gt;""),MAX(H155-I155,0),""),"")</f>
        <v/>
      </c>
      <c r="K155" s="30"/>
    </row>
    <row r="156" customFormat="false" ht="19.5" hidden="false" customHeight="true" outlineLevel="0" collapsed="false">
      <c r="A156" s="34"/>
      <c r="B156" s="55"/>
      <c r="C156" s="34"/>
      <c r="D156" s="48" t="str">
        <f aca="false">IFERROR(VLOOKUP(C156,①従業員マスタ!$A$4:$I$56,2,0),"")</f>
        <v/>
      </c>
      <c r="E156" s="56"/>
      <c r="F156" s="56"/>
      <c r="G156" s="36"/>
      <c r="H156" s="57" t="str">
        <f aca="false">IFERROR(IF(AND(E156&lt;&gt;"",F156&lt;&gt;""),(F156-E156)*24-IF(G156&lt;&gt;"",G156,0),""),"")</f>
        <v/>
      </c>
      <c r="I156" s="58" t="str">
        <f aca="false">IFERROR(VLOOKUP(C156,①従業員マスタ!$A$4:$I$56,6,0),"")</f>
        <v/>
      </c>
      <c r="J156" s="57" t="str">
        <f aca="false">IFERROR(IF(AND(H156&lt;&gt;"",I156&lt;&gt;""),MAX(H156-I156,0),""),"")</f>
        <v/>
      </c>
      <c r="K156" s="34"/>
    </row>
    <row r="157" customFormat="false" ht="19.5" hidden="false" customHeight="true" outlineLevel="0" collapsed="false">
      <c r="A157" s="30"/>
      <c r="B157" s="59"/>
      <c r="C157" s="30"/>
      <c r="D157" s="52" t="str">
        <f aca="false">IFERROR(VLOOKUP(C157,①従業員マスタ!$A$4:$I$56,2,0),"")</f>
        <v/>
      </c>
      <c r="E157" s="60"/>
      <c r="F157" s="60"/>
      <c r="G157" s="32"/>
      <c r="H157" s="61" t="str">
        <f aca="false">IFERROR(IF(AND(E157&lt;&gt;"",F157&lt;&gt;""),(F157-E157)*24-IF(G157&lt;&gt;"",G157,0),""),"")</f>
        <v/>
      </c>
      <c r="I157" s="62" t="str">
        <f aca="false">IFERROR(VLOOKUP(C157,①従業員マスタ!$A$4:$I$56,6,0),"")</f>
        <v/>
      </c>
      <c r="J157" s="61" t="str">
        <f aca="false">IFERROR(IF(AND(H157&lt;&gt;"",I157&lt;&gt;""),MAX(H157-I157,0),""),"")</f>
        <v/>
      </c>
      <c r="K157" s="30"/>
    </row>
    <row r="158" customFormat="false" ht="19.5" hidden="false" customHeight="true" outlineLevel="0" collapsed="false">
      <c r="A158" s="34"/>
      <c r="B158" s="55"/>
      <c r="C158" s="34"/>
      <c r="D158" s="48" t="str">
        <f aca="false">IFERROR(VLOOKUP(C158,①従業員マスタ!$A$4:$I$56,2,0),"")</f>
        <v/>
      </c>
      <c r="E158" s="56"/>
      <c r="F158" s="56"/>
      <c r="G158" s="36"/>
      <c r="H158" s="57" t="str">
        <f aca="false">IFERROR(IF(AND(E158&lt;&gt;"",F158&lt;&gt;""),(F158-E158)*24-IF(G158&lt;&gt;"",G158,0),""),"")</f>
        <v/>
      </c>
      <c r="I158" s="58" t="str">
        <f aca="false">IFERROR(VLOOKUP(C158,①従業員マスタ!$A$4:$I$56,6,0),"")</f>
        <v/>
      </c>
      <c r="J158" s="57" t="str">
        <f aca="false">IFERROR(IF(AND(H158&lt;&gt;"",I158&lt;&gt;""),MAX(H158-I158,0),""),"")</f>
        <v/>
      </c>
      <c r="K158" s="34"/>
    </row>
    <row r="159" customFormat="false" ht="19.5" hidden="false" customHeight="true" outlineLevel="0" collapsed="false">
      <c r="A159" s="30"/>
      <c r="B159" s="59"/>
      <c r="C159" s="30"/>
      <c r="D159" s="52" t="str">
        <f aca="false">IFERROR(VLOOKUP(C159,①従業員マスタ!$A$4:$I$56,2,0),"")</f>
        <v/>
      </c>
      <c r="E159" s="60"/>
      <c r="F159" s="60"/>
      <c r="G159" s="32"/>
      <c r="H159" s="61" t="str">
        <f aca="false">IFERROR(IF(AND(E159&lt;&gt;"",F159&lt;&gt;""),(F159-E159)*24-IF(G159&lt;&gt;"",G159,0),""),"")</f>
        <v/>
      </c>
      <c r="I159" s="62" t="str">
        <f aca="false">IFERROR(VLOOKUP(C159,①従業員マスタ!$A$4:$I$56,6,0),"")</f>
        <v/>
      </c>
      <c r="J159" s="61" t="str">
        <f aca="false">IFERROR(IF(AND(H159&lt;&gt;"",I159&lt;&gt;""),MAX(H159-I159,0),""),"")</f>
        <v/>
      </c>
      <c r="K159" s="30"/>
    </row>
    <row r="160" customFormat="false" ht="19.5" hidden="false" customHeight="true" outlineLevel="0" collapsed="false">
      <c r="A160" s="34"/>
      <c r="B160" s="55"/>
      <c r="C160" s="34"/>
      <c r="D160" s="48" t="str">
        <f aca="false">IFERROR(VLOOKUP(C160,①従業員マスタ!$A$4:$I$56,2,0),"")</f>
        <v/>
      </c>
      <c r="E160" s="56"/>
      <c r="F160" s="56"/>
      <c r="G160" s="36"/>
      <c r="H160" s="57" t="str">
        <f aca="false">IFERROR(IF(AND(E160&lt;&gt;"",F160&lt;&gt;""),(F160-E160)*24-IF(G160&lt;&gt;"",G160,0),""),"")</f>
        <v/>
      </c>
      <c r="I160" s="58" t="str">
        <f aca="false">IFERROR(VLOOKUP(C160,①従業員マスタ!$A$4:$I$56,6,0),"")</f>
        <v/>
      </c>
      <c r="J160" s="57" t="str">
        <f aca="false">IFERROR(IF(AND(H160&lt;&gt;"",I160&lt;&gt;""),MAX(H160-I160,0),""),"")</f>
        <v/>
      </c>
      <c r="K160" s="34"/>
    </row>
    <row r="161" customFormat="false" ht="19.5" hidden="false" customHeight="true" outlineLevel="0" collapsed="false">
      <c r="A161" s="30"/>
      <c r="B161" s="59"/>
      <c r="C161" s="30"/>
      <c r="D161" s="52" t="str">
        <f aca="false">IFERROR(VLOOKUP(C161,①従業員マスタ!$A$4:$I$56,2,0),"")</f>
        <v/>
      </c>
      <c r="E161" s="60"/>
      <c r="F161" s="60"/>
      <c r="G161" s="32"/>
      <c r="H161" s="61" t="str">
        <f aca="false">IFERROR(IF(AND(E161&lt;&gt;"",F161&lt;&gt;""),(F161-E161)*24-IF(G161&lt;&gt;"",G161,0),""),"")</f>
        <v/>
      </c>
      <c r="I161" s="62" t="str">
        <f aca="false">IFERROR(VLOOKUP(C161,①従業員マスタ!$A$4:$I$56,6,0),"")</f>
        <v/>
      </c>
      <c r="J161" s="61" t="str">
        <f aca="false">IFERROR(IF(AND(H161&lt;&gt;"",I161&lt;&gt;""),MAX(H161-I161,0),""),"")</f>
        <v/>
      </c>
      <c r="K161" s="30"/>
    </row>
    <row r="162" customFormat="false" ht="19.5" hidden="false" customHeight="true" outlineLevel="0" collapsed="false">
      <c r="A162" s="34"/>
      <c r="B162" s="55"/>
      <c r="C162" s="34"/>
      <c r="D162" s="48" t="str">
        <f aca="false">IFERROR(VLOOKUP(C162,①従業員マスタ!$A$4:$I$56,2,0),"")</f>
        <v/>
      </c>
      <c r="E162" s="56"/>
      <c r="F162" s="56"/>
      <c r="G162" s="36"/>
      <c r="H162" s="57" t="str">
        <f aca="false">IFERROR(IF(AND(E162&lt;&gt;"",F162&lt;&gt;""),(F162-E162)*24-IF(G162&lt;&gt;"",G162,0),""),"")</f>
        <v/>
      </c>
      <c r="I162" s="58" t="str">
        <f aca="false">IFERROR(VLOOKUP(C162,①従業員マスタ!$A$4:$I$56,6,0),"")</f>
        <v/>
      </c>
      <c r="J162" s="57" t="str">
        <f aca="false">IFERROR(IF(AND(H162&lt;&gt;"",I162&lt;&gt;""),MAX(H162-I162,0),""),"")</f>
        <v/>
      </c>
      <c r="K162" s="34"/>
    </row>
    <row r="163" customFormat="false" ht="19.5" hidden="false" customHeight="true" outlineLevel="0" collapsed="false">
      <c r="A163" s="30"/>
      <c r="B163" s="59"/>
      <c r="C163" s="30"/>
      <c r="D163" s="52" t="str">
        <f aca="false">IFERROR(VLOOKUP(C163,①従業員マスタ!$A$4:$I$56,2,0),"")</f>
        <v/>
      </c>
      <c r="E163" s="60"/>
      <c r="F163" s="60"/>
      <c r="G163" s="32"/>
      <c r="H163" s="61" t="str">
        <f aca="false">IFERROR(IF(AND(E163&lt;&gt;"",F163&lt;&gt;""),(F163-E163)*24-IF(G163&lt;&gt;"",G163,0),""),"")</f>
        <v/>
      </c>
      <c r="I163" s="62" t="str">
        <f aca="false">IFERROR(VLOOKUP(C163,①従業員マスタ!$A$4:$I$56,6,0),"")</f>
        <v/>
      </c>
      <c r="J163" s="61" t="str">
        <f aca="false">IFERROR(IF(AND(H163&lt;&gt;"",I163&lt;&gt;""),MAX(H163-I163,0),""),"")</f>
        <v/>
      </c>
      <c r="K163" s="30"/>
    </row>
    <row r="164" customFormat="false" ht="19.5" hidden="false" customHeight="true" outlineLevel="0" collapsed="false">
      <c r="A164" s="34"/>
      <c r="B164" s="55"/>
      <c r="C164" s="34"/>
      <c r="D164" s="48" t="str">
        <f aca="false">IFERROR(VLOOKUP(C164,①従業員マスタ!$A$4:$I$56,2,0),"")</f>
        <v/>
      </c>
      <c r="E164" s="56"/>
      <c r="F164" s="56"/>
      <c r="G164" s="36"/>
      <c r="H164" s="57" t="str">
        <f aca="false">IFERROR(IF(AND(E164&lt;&gt;"",F164&lt;&gt;""),(F164-E164)*24-IF(G164&lt;&gt;"",G164,0),""),"")</f>
        <v/>
      </c>
      <c r="I164" s="58" t="str">
        <f aca="false">IFERROR(VLOOKUP(C164,①従業員マスタ!$A$4:$I$56,6,0),"")</f>
        <v/>
      </c>
      <c r="J164" s="57" t="str">
        <f aca="false">IFERROR(IF(AND(H164&lt;&gt;"",I164&lt;&gt;""),MAX(H164-I164,0),""),"")</f>
        <v/>
      </c>
      <c r="K164" s="34"/>
    </row>
    <row r="165" customFormat="false" ht="19.5" hidden="false" customHeight="true" outlineLevel="0" collapsed="false">
      <c r="A165" s="30"/>
      <c r="B165" s="59"/>
      <c r="C165" s="30"/>
      <c r="D165" s="52" t="str">
        <f aca="false">IFERROR(VLOOKUP(C165,①従業員マスタ!$A$4:$I$56,2,0),"")</f>
        <v/>
      </c>
      <c r="E165" s="60"/>
      <c r="F165" s="60"/>
      <c r="G165" s="32"/>
      <c r="H165" s="61" t="str">
        <f aca="false">IFERROR(IF(AND(E165&lt;&gt;"",F165&lt;&gt;""),(F165-E165)*24-IF(G165&lt;&gt;"",G165,0),""),"")</f>
        <v/>
      </c>
      <c r="I165" s="62" t="str">
        <f aca="false">IFERROR(VLOOKUP(C165,①従業員マスタ!$A$4:$I$56,6,0),"")</f>
        <v/>
      </c>
      <c r="J165" s="61" t="str">
        <f aca="false">IFERROR(IF(AND(H165&lt;&gt;"",I165&lt;&gt;""),MAX(H165-I165,0),""),"")</f>
        <v/>
      </c>
      <c r="K165" s="30"/>
    </row>
    <row r="166" customFormat="false" ht="19.5" hidden="false" customHeight="true" outlineLevel="0" collapsed="false">
      <c r="A166" s="34"/>
      <c r="B166" s="55"/>
      <c r="C166" s="34"/>
      <c r="D166" s="48" t="str">
        <f aca="false">IFERROR(VLOOKUP(C166,①従業員マスタ!$A$4:$I$56,2,0),"")</f>
        <v/>
      </c>
      <c r="E166" s="56"/>
      <c r="F166" s="56"/>
      <c r="G166" s="36"/>
      <c r="H166" s="57" t="str">
        <f aca="false">IFERROR(IF(AND(E166&lt;&gt;"",F166&lt;&gt;""),(F166-E166)*24-IF(G166&lt;&gt;"",G166,0),""),"")</f>
        <v/>
      </c>
      <c r="I166" s="58" t="str">
        <f aca="false">IFERROR(VLOOKUP(C166,①従業員マスタ!$A$4:$I$56,6,0),"")</f>
        <v/>
      </c>
      <c r="J166" s="57" t="str">
        <f aca="false">IFERROR(IF(AND(H166&lt;&gt;"",I166&lt;&gt;""),MAX(H166-I166,0),""),"")</f>
        <v/>
      </c>
      <c r="K166" s="34"/>
    </row>
    <row r="167" customFormat="false" ht="19.5" hidden="false" customHeight="true" outlineLevel="0" collapsed="false">
      <c r="A167" s="30"/>
      <c r="B167" s="59"/>
      <c r="C167" s="30"/>
      <c r="D167" s="52" t="str">
        <f aca="false">IFERROR(VLOOKUP(C167,①従業員マスタ!$A$4:$I$56,2,0),"")</f>
        <v/>
      </c>
      <c r="E167" s="60"/>
      <c r="F167" s="60"/>
      <c r="G167" s="32"/>
      <c r="H167" s="61" t="str">
        <f aca="false">IFERROR(IF(AND(E167&lt;&gt;"",F167&lt;&gt;""),(F167-E167)*24-IF(G167&lt;&gt;"",G167,0),""),"")</f>
        <v/>
      </c>
      <c r="I167" s="62" t="str">
        <f aca="false">IFERROR(VLOOKUP(C167,①従業員マスタ!$A$4:$I$56,6,0),"")</f>
        <v/>
      </c>
      <c r="J167" s="61" t="str">
        <f aca="false">IFERROR(IF(AND(H167&lt;&gt;"",I167&lt;&gt;""),MAX(H167-I167,0),""),"")</f>
        <v/>
      </c>
      <c r="K167" s="30"/>
    </row>
    <row r="168" customFormat="false" ht="19.5" hidden="false" customHeight="true" outlineLevel="0" collapsed="false">
      <c r="A168" s="34"/>
      <c r="B168" s="55"/>
      <c r="C168" s="34"/>
      <c r="D168" s="48" t="str">
        <f aca="false">IFERROR(VLOOKUP(C168,①従業員マスタ!$A$4:$I$56,2,0),"")</f>
        <v/>
      </c>
      <c r="E168" s="56"/>
      <c r="F168" s="56"/>
      <c r="G168" s="36"/>
      <c r="H168" s="57" t="str">
        <f aca="false">IFERROR(IF(AND(E168&lt;&gt;"",F168&lt;&gt;""),(F168-E168)*24-IF(G168&lt;&gt;"",G168,0),""),"")</f>
        <v/>
      </c>
      <c r="I168" s="58" t="str">
        <f aca="false">IFERROR(VLOOKUP(C168,①従業員マスタ!$A$4:$I$56,6,0),"")</f>
        <v/>
      </c>
      <c r="J168" s="57" t="str">
        <f aca="false">IFERROR(IF(AND(H168&lt;&gt;"",I168&lt;&gt;""),MAX(H168-I168,0),""),"")</f>
        <v/>
      </c>
      <c r="K168" s="34"/>
    </row>
    <row r="169" customFormat="false" ht="19.5" hidden="false" customHeight="true" outlineLevel="0" collapsed="false">
      <c r="A169" s="30"/>
      <c r="B169" s="59"/>
      <c r="C169" s="30"/>
      <c r="D169" s="52" t="str">
        <f aca="false">IFERROR(VLOOKUP(C169,①従業員マスタ!$A$4:$I$56,2,0),"")</f>
        <v/>
      </c>
      <c r="E169" s="60"/>
      <c r="F169" s="60"/>
      <c r="G169" s="32"/>
      <c r="H169" s="61" t="str">
        <f aca="false">IFERROR(IF(AND(E169&lt;&gt;"",F169&lt;&gt;""),(F169-E169)*24-IF(G169&lt;&gt;"",G169,0),""),"")</f>
        <v/>
      </c>
      <c r="I169" s="62" t="str">
        <f aca="false">IFERROR(VLOOKUP(C169,①従業員マスタ!$A$4:$I$56,6,0),"")</f>
        <v/>
      </c>
      <c r="J169" s="61" t="str">
        <f aca="false">IFERROR(IF(AND(H169&lt;&gt;"",I169&lt;&gt;""),MAX(H169-I169,0),""),"")</f>
        <v/>
      </c>
      <c r="K169" s="30"/>
    </row>
    <row r="170" customFormat="false" ht="19.5" hidden="false" customHeight="true" outlineLevel="0" collapsed="false">
      <c r="A170" s="34"/>
      <c r="B170" s="55"/>
      <c r="C170" s="34"/>
      <c r="D170" s="48" t="str">
        <f aca="false">IFERROR(VLOOKUP(C170,①従業員マスタ!$A$4:$I$56,2,0),"")</f>
        <v/>
      </c>
      <c r="E170" s="56"/>
      <c r="F170" s="56"/>
      <c r="G170" s="36"/>
      <c r="H170" s="57" t="str">
        <f aca="false">IFERROR(IF(AND(E170&lt;&gt;"",F170&lt;&gt;""),(F170-E170)*24-IF(G170&lt;&gt;"",G170,0),""),"")</f>
        <v/>
      </c>
      <c r="I170" s="58" t="str">
        <f aca="false">IFERROR(VLOOKUP(C170,①従業員マスタ!$A$4:$I$56,6,0),"")</f>
        <v/>
      </c>
      <c r="J170" s="57" t="str">
        <f aca="false">IFERROR(IF(AND(H170&lt;&gt;"",I170&lt;&gt;""),MAX(H170-I170,0),""),"")</f>
        <v/>
      </c>
      <c r="K170" s="34"/>
    </row>
    <row r="171" customFormat="false" ht="19.5" hidden="false" customHeight="true" outlineLevel="0" collapsed="false">
      <c r="A171" s="30"/>
      <c r="B171" s="59"/>
      <c r="C171" s="30"/>
      <c r="D171" s="52" t="str">
        <f aca="false">IFERROR(VLOOKUP(C171,①従業員マスタ!$A$4:$I$56,2,0),"")</f>
        <v/>
      </c>
      <c r="E171" s="60"/>
      <c r="F171" s="60"/>
      <c r="G171" s="32"/>
      <c r="H171" s="61" t="str">
        <f aca="false">IFERROR(IF(AND(E171&lt;&gt;"",F171&lt;&gt;""),(F171-E171)*24-IF(G171&lt;&gt;"",G171,0),""),"")</f>
        <v/>
      </c>
      <c r="I171" s="62" t="str">
        <f aca="false">IFERROR(VLOOKUP(C171,①従業員マスタ!$A$4:$I$56,6,0),"")</f>
        <v/>
      </c>
      <c r="J171" s="61" t="str">
        <f aca="false">IFERROR(IF(AND(H171&lt;&gt;"",I171&lt;&gt;""),MAX(H171-I171,0),""),"")</f>
        <v/>
      </c>
      <c r="K171" s="30"/>
    </row>
    <row r="172" customFormat="false" ht="19.5" hidden="false" customHeight="true" outlineLevel="0" collapsed="false">
      <c r="A172" s="34"/>
      <c r="B172" s="55"/>
      <c r="C172" s="34"/>
      <c r="D172" s="48" t="str">
        <f aca="false">IFERROR(VLOOKUP(C172,①従業員マスタ!$A$4:$I$56,2,0),"")</f>
        <v/>
      </c>
      <c r="E172" s="56"/>
      <c r="F172" s="56"/>
      <c r="G172" s="36"/>
      <c r="H172" s="57" t="str">
        <f aca="false">IFERROR(IF(AND(E172&lt;&gt;"",F172&lt;&gt;""),(F172-E172)*24-IF(G172&lt;&gt;"",G172,0),""),"")</f>
        <v/>
      </c>
      <c r="I172" s="58" t="str">
        <f aca="false">IFERROR(VLOOKUP(C172,①従業員マスタ!$A$4:$I$56,6,0),"")</f>
        <v/>
      </c>
      <c r="J172" s="57" t="str">
        <f aca="false">IFERROR(IF(AND(H172&lt;&gt;"",I172&lt;&gt;""),MAX(H172-I172,0),""),"")</f>
        <v/>
      </c>
      <c r="K172" s="34"/>
    </row>
    <row r="173" customFormat="false" ht="19.5" hidden="false" customHeight="true" outlineLevel="0" collapsed="false">
      <c r="A173" s="30"/>
      <c r="B173" s="59"/>
      <c r="C173" s="30"/>
      <c r="D173" s="52" t="str">
        <f aca="false">IFERROR(VLOOKUP(C173,①従業員マスタ!$A$4:$I$56,2,0),"")</f>
        <v/>
      </c>
      <c r="E173" s="60"/>
      <c r="F173" s="60"/>
      <c r="G173" s="32"/>
      <c r="H173" s="61" t="str">
        <f aca="false">IFERROR(IF(AND(E173&lt;&gt;"",F173&lt;&gt;""),(F173-E173)*24-IF(G173&lt;&gt;"",G173,0),""),"")</f>
        <v/>
      </c>
      <c r="I173" s="62" t="str">
        <f aca="false">IFERROR(VLOOKUP(C173,①従業員マスタ!$A$4:$I$56,6,0),"")</f>
        <v/>
      </c>
      <c r="J173" s="61" t="str">
        <f aca="false">IFERROR(IF(AND(H173&lt;&gt;"",I173&lt;&gt;""),MAX(H173-I173,0),""),"")</f>
        <v/>
      </c>
      <c r="K173" s="30"/>
    </row>
    <row r="174" customFormat="false" ht="19.5" hidden="false" customHeight="true" outlineLevel="0" collapsed="false">
      <c r="A174" s="34"/>
      <c r="B174" s="55"/>
      <c r="C174" s="34"/>
      <c r="D174" s="48" t="str">
        <f aca="false">IFERROR(VLOOKUP(C174,①従業員マスタ!$A$4:$I$56,2,0),"")</f>
        <v/>
      </c>
      <c r="E174" s="56"/>
      <c r="F174" s="56"/>
      <c r="G174" s="36"/>
      <c r="H174" s="57" t="str">
        <f aca="false">IFERROR(IF(AND(E174&lt;&gt;"",F174&lt;&gt;""),(F174-E174)*24-IF(G174&lt;&gt;"",G174,0),""),"")</f>
        <v/>
      </c>
      <c r="I174" s="58" t="str">
        <f aca="false">IFERROR(VLOOKUP(C174,①従業員マスタ!$A$4:$I$56,6,0),"")</f>
        <v/>
      </c>
      <c r="J174" s="57" t="str">
        <f aca="false">IFERROR(IF(AND(H174&lt;&gt;"",I174&lt;&gt;""),MAX(H174-I174,0),""),"")</f>
        <v/>
      </c>
      <c r="K174" s="34"/>
    </row>
    <row r="175" customFormat="false" ht="19.5" hidden="false" customHeight="true" outlineLevel="0" collapsed="false">
      <c r="A175" s="30"/>
      <c r="B175" s="59"/>
      <c r="C175" s="30"/>
      <c r="D175" s="52" t="str">
        <f aca="false">IFERROR(VLOOKUP(C175,①従業員マスタ!$A$4:$I$56,2,0),"")</f>
        <v/>
      </c>
      <c r="E175" s="60"/>
      <c r="F175" s="60"/>
      <c r="G175" s="32"/>
      <c r="H175" s="61" t="str">
        <f aca="false">IFERROR(IF(AND(E175&lt;&gt;"",F175&lt;&gt;""),(F175-E175)*24-IF(G175&lt;&gt;"",G175,0),""),"")</f>
        <v/>
      </c>
      <c r="I175" s="62" t="str">
        <f aca="false">IFERROR(VLOOKUP(C175,①従業員マスタ!$A$4:$I$56,6,0),"")</f>
        <v/>
      </c>
      <c r="J175" s="61" t="str">
        <f aca="false">IFERROR(IF(AND(H175&lt;&gt;"",I175&lt;&gt;""),MAX(H175-I175,0),""),"")</f>
        <v/>
      </c>
      <c r="K175" s="30"/>
    </row>
    <row r="176" customFormat="false" ht="19.5" hidden="false" customHeight="true" outlineLevel="0" collapsed="false">
      <c r="A176" s="34"/>
      <c r="B176" s="55"/>
      <c r="C176" s="34"/>
      <c r="D176" s="48" t="str">
        <f aca="false">IFERROR(VLOOKUP(C176,①従業員マスタ!$A$4:$I$56,2,0),"")</f>
        <v/>
      </c>
      <c r="E176" s="56"/>
      <c r="F176" s="56"/>
      <c r="G176" s="36"/>
      <c r="H176" s="57" t="str">
        <f aca="false">IFERROR(IF(AND(E176&lt;&gt;"",F176&lt;&gt;""),(F176-E176)*24-IF(G176&lt;&gt;"",G176,0),""),"")</f>
        <v/>
      </c>
      <c r="I176" s="58" t="str">
        <f aca="false">IFERROR(VLOOKUP(C176,①従業員マスタ!$A$4:$I$56,6,0),"")</f>
        <v/>
      </c>
      <c r="J176" s="57" t="str">
        <f aca="false">IFERROR(IF(AND(H176&lt;&gt;"",I176&lt;&gt;""),MAX(H176-I176,0),""),"")</f>
        <v/>
      </c>
      <c r="K176" s="34"/>
    </row>
    <row r="177" customFormat="false" ht="19.5" hidden="false" customHeight="true" outlineLevel="0" collapsed="false">
      <c r="A177" s="30"/>
      <c r="B177" s="59"/>
      <c r="C177" s="30"/>
      <c r="D177" s="52" t="str">
        <f aca="false">IFERROR(VLOOKUP(C177,①従業員マスタ!$A$4:$I$56,2,0),"")</f>
        <v/>
      </c>
      <c r="E177" s="60"/>
      <c r="F177" s="60"/>
      <c r="G177" s="32"/>
      <c r="H177" s="61" t="str">
        <f aca="false">IFERROR(IF(AND(E177&lt;&gt;"",F177&lt;&gt;""),(F177-E177)*24-IF(G177&lt;&gt;"",G177,0),""),"")</f>
        <v/>
      </c>
      <c r="I177" s="62" t="str">
        <f aca="false">IFERROR(VLOOKUP(C177,①従業員マスタ!$A$4:$I$56,6,0),"")</f>
        <v/>
      </c>
      <c r="J177" s="61" t="str">
        <f aca="false">IFERROR(IF(AND(H177&lt;&gt;"",I177&lt;&gt;""),MAX(H177-I177,0),""),"")</f>
        <v/>
      </c>
      <c r="K177" s="30"/>
    </row>
    <row r="178" customFormat="false" ht="19.5" hidden="false" customHeight="true" outlineLevel="0" collapsed="false">
      <c r="A178" s="34"/>
      <c r="B178" s="55"/>
      <c r="C178" s="34"/>
      <c r="D178" s="48" t="str">
        <f aca="false">IFERROR(VLOOKUP(C178,①従業員マスタ!$A$4:$I$56,2,0),"")</f>
        <v/>
      </c>
      <c r="E178" s="56"/>
      <c r="F178" s="56"/>
      <c r="G178" s="36"/>
      <c r="H178" s="57" t="str">
        <f aca="false">IFERROR(IF(AND(E178&lt;&gt;"",F178&lt;&gt;""),(F178-E178)*24-IF(G178&lt;&gt;"",G178,0),""),"")</f>
        <v/>
      </c>
      <c r="I178" s="58" t="str">
        <f aca="false">IFERROR(VLOOKUP(C178,①従業員マスタ!$A$4:$I$56,6,0),"")</f>
        <v/>
      </c>
      <c r="J178" s="57" t="str">
        <f aca="false">IFERROR(IF(AND(H178&lt;&gt;"",I178&lt;&gt;""),MAX(H178-I178,0),""),"")</f>
        <v/>
      </c>
      <c r="K178" s="34"/>
    </row>
    <row r="179" customFormat="false" ht="19.5" hidden="false" customHeight="true" outlineLevel="0" collapsed="false">
      <c r="A179" s="30"/>
      <c r="B179" s="59"/>
      <c r="C179" s="30"/>
      <c r="D179" s="52" t="str">
        <f aca="false">IFERROR(VLOOKUP(C179,①従業員マスタ!$A$4:$I$56,2,0),"")</f>
        <v/>
      </c>
      <c r="E179" s="60"/>
      <c r="F179" s="60"/>
      <c r="G179" s="32"/>
      <c r="H179" s="61" t="str">
        <f aca="false">IFERROR(IF(AND(E179&lt;&gt;"",F179&lt;&gt;""),(F179-E179)*24-IF(G179&lt;&gt;"",G179,0),""),"")</f>
        <v/>
      </c>
      <c r="I179" s="62" t="str">
        <f aca="false">IFERROR(VLOOKUP(C179,①従業員マスタ!$A$4:$I$56,6,0),"")</f>
        <v/>
      </c>
      <c r="J179" s="61" t="str">
        <f aca="false">IFERROR(IF(AND(H179&lt;&gt;"",I179&lt;&gt;""),MAX(H179-I179,0),""),"")</f>
        <v/>
      </c>
      <c r="K179" s="30"/>
    </row>
    <row r="180" customFormat="false" ht="19.5" hidden="false" customHeight="true" outlineLevel="0" collapsed="false">
      <c r="A180" s="34"/>
      <c r="B180" s="55"/>
      <c r="C180" s="34"/>
      <c r="D180" s="48" t="str">
        <f aca="false">IFERROR(VLOOKUP(C180,①従業員マスタ!$A$4:$I$56,2,0),"")</f>
        <v/>
      </c>
      <c r="E180" s="56"/>
      <c r="F180" s="56"/>
      <c r="G180" s="36"/>
      <c r="H180" s="57" t="str">
        <f aca="false">IFERROR(IF(AND(E180&lt;&gt;"",F180&lt;&gt;""),(F180-E180)*24-IF(G180&lt;&gt;"",G180,0),""),"")</f>
        <v/>
      </c>
      <c r="I180" s="58" t="str">
        <f aca="false">IFERROR(VLOOKUP(C180,①従業員マスタ!$A$4:$I$56,6,0),"")</f>
        <v/>
      </c>
      <c r="J180" s="57" t="str">
        <f aca="false">IFERROR(IF(AND(H180&lt;&gt;"",I180&lt;&gt;""),MAX(H180-I180,0),""),"")</f>
        <v/>
      </c>
      <c r="K180" s="34"/>
    </row>
    <row r="181" customFormat="false" ht="19.5" hidden="false" customHeight="true" outlineLevel="0" collapsed="false">
      <c r="A181" s="30"/>
      <c r="B181" s="59"/>
      <c r="C181" s="30"/>
      <c r="D181" s="52" t="str">
        <f aca="false">IFERROR(VLOOKUP(C181,①従業員マスタ!$A$4:$I$56,2,0),"")</f>
        <v/>
      </c>
      <c r="E181" s="60"/>
      <c r="F181" s="60"/>
      <c r="G181" s="32"/>
      <c r="H181" s="61" t="str">
        <f aca="false">IFERROR(IF(AND(E181&lt;&gt;"",F181&lt;&gt;""),(F181-E181)*24-IF(G181&lt;&gt;"",G181,0),""),"")</f>
        <v/>
      </c>
      <c r="I181" s="62" t="str">
        <f aca="false">IFERROR(VLOOKUP(C181,①従業員マスタ!$A$4:$I$56,6,0),"")</f>
        <v/>
      </c>
      <c r="J181" s="61" t="str">
        <f aca="false">IFERROR(IF(AND(H181&lt;&gt;"",I181&lt;&gt;""),MAX(H181-I181,0),""),"")</f>
        <v/>
      </c>
      <c r="K181" s="30"/>
    </row>
    <row r="182" customFormat="false" ht="19.5" hidden="false" customHeight="true" outlineLevel="0" collapsed="false">
      <c r="A182" s="34"/>
      <c r="B182" s="55"/>
      <c r="C182" s="34"/>
      <c r="D182" s="48" t="str">
        <f aca="false">IFERROR(VLOOKUP(C182,①従業員マスタ!$A$4:$I$56,2,0),"")</f>
        <v/>
      </c>
      <c r="E182" s="56"/>
      <c r="F182" s="56"/>
      <c r="G182" s="36"/>
      <c r="H182" s="57" t="str">
        <f aca="false">IFERROR(IF(AND(E182&lt;&gt;"",F182&lt;&gt;""),(F182-E182)*24-IF(G182&lt;&gt;"",G182,0),""),"")</f>
        <v/>
      </c>
      <c r="I182" s="58" t="str">
        <f aca="false">IFERROR(VLOOKUP(C182,①従業員マスタ!$A$4:$I$56,6,0),"")</f>
        <v/>
      </c>
      <c r="J182" s="57" t="str">
        <f aca="false">IFERROR(IF(AND(H182&lt;&gt;"",I182&lt;&gt;""),MAX(H182-I182,0),""),"")</f>
        <v/>
      </c>
      <c r="K182" s="34"/>
    </row>
    <row r="183" customFormat="false" ht="19.5" hidden="false" customHeight="true" outlineLevel="0" collapsed="false">
      <c r="A183" s="30"/>
      <c r="B183" s="59"/>
      <c r="C183" s="30"/>
      <c r="D183" s="52" t="str">
        <f aca="false">IFERROR(VLOOKUP(C183,①従業員マスタ!$A$4:$I$56,2,0),"")</f>
        <v/>
      </c>
      <c r="E183" s="60"/>
      <c r="F183" s="60"/>
      <c r="G183" s="32"/>
      <c r="H183" s="61" t="str">
        <f aca="false">IFERROR(IF(AND(E183&lt;&gt;"",F183&lt;&gt;""),(F183-E183)*24-IF(G183&lt;&gt;"",G183,0),""),"")</f>
        <v/>
      </c>
      <c r="I183" s="62" t="str">
        <f aca="false">IFERROR(VLOOKUP(C183,①従業員マスタ!$A$4:$I$56,6,0),"")</f>
        <v/>
      </c>
      <c r="J183" s="61" t="str">
        <f aca="false">IFERROR(IF(AND(H183&lt;&gt;"",I183&lt;&gt;""),MAX(H183-I183,0),""),"")</f>
        <v/>
      </c>
      <c r="K183" s="30"/>
    </row>
    <row r="184" customFormat="false" ht="19.5" hidden="false" customHeight="true" outlineLevel="0" collapsed="false">
      <c r="A184" s="34"/>
      <c r="B184" s="55"/>
      <c r="C184" s="34"/>
      <c r="D184" s="48" t="str">
        <f aca="false">IFERROR(VLOOKUP(C184,①従業員マスタ!$A$4:$I$56,2,0),"")</f>
        <v/>
      </c>
      <c r="E184" s="56"/>
      <c r="F184" s="56"/>
      <c r="G184" s="36"/>
      <c r="H184" s="57" t="str">
        <f aca="false">IFERROR(IF(AND(E184&lt;&gt;"",F184&lt;&gt;""),(F184-E184)*24-IF(G184&lt;&gt;"",G184,0),""),"")</f>
        <v/>
      </c>
      <c r="I184" s="58" t="str">
        <f aca="false">IFERROR(VLOOKUP(C184,①従業員マスタ!$A$4:$I$56,6,0),"")</f>
        <v/>
      </c>
      <c r="J184" s="57" t="str">
        <f aca="false">IFERROR(IF(AND(H184&lt;&gt;"",I184&lt;&gt;""),MAX(H184-I184,0),""),"")</f>
        <v/>
      </c>
      <c r="K184" s="34"/>
    </row>
    <row r="185" customFormat="false" ht="19.5" hidden="false" customHeight="true" outlineLevel="0" collapsed="false">
      <c r="A185" s="30"/>
      <c r="B185" s="59"/>
      <c r="C185" s="30"/>
      <c r="D185" s="52" t="str">
        <f aca="false">IFERROR(VLOOKUP(C185,①従業員マスタ!$A$4:$I$56,2,0),"")</f>
        <v/>
      </c>
      <c r="E185" s="60"/>
      <c r="F185" s="60"/>
      <c r="G185" s="32"/>
      <c r="H185" s="61" t="str">
        <f aca="false">IFERROR(IF(AND(E185&lt;&gt;"",F185&lt;&gt;""),(F185-E185)*24-IF(G185&lt;&gt;"",G185,0),""),"")</f>
        <v/>
      </c>
      <c r="I185" s="62" t="str">
        <f aca="false">IFERROR(VLOOKUP(C185,①従業員マスタ!$A$4:$I$56,6,0),"")</f>
        <v/>
      </c>
      <c r="J185" s="61" t="str">
        <f aca="false">IFERROR(IF(AND(H185&lt;&gt;"",I185&lt;&gt;""),MAX(H185-I185,0),""),"")</f>
        <v/>
      </c>
      <c r="K185" s="30"/>
    </row>
    <row r="186" customFormat="false" ht="19.5" hidden="false" customHeight="true" outlineLevel="0" collapsed="false">
      <c r="A186" s="34"/>
      <c r="B186" s="55"/>
      <c r="C186" s="34"/>
      <c r="D186" s="48" t="str">
        <f aca="false">IFERROR(VLOOKUP(C186,①従業員マスタ!$A$4:$I$56,2,0),"")</f>
        <v/>
      </c>
      <c r="E186" s="56"/>
      <c r="F186" s="56"/>
      <c r="G186" s="36"/>
      <c r="H186" s="57" t="str">
        <f aca="false">IFERROR(IF(AND(E186&lt;&gt;"",F186&lt;&gt;""),(F186-E186)*24-IF(G186&lt;&gt;"",G186,0),""),"")</f>
        <v/>
      </c>
      <c r="I186" s="58" t="str">
        <f aca="false">IFERROR(VLOOKUP(C186,①従業員マスタ!$A$4:$I$56,6,0),"")</f>
        <v/>
      </c>
      <c r="J186" s="57" t="str">
        <f aca="false">IFERROR(IF(AND(H186&lt;&gt;"",I186&lt;&gt;""),MAX(H186-I186,0),""),"")</f>
        <v/>
      </c>
      <c r="K186" s="34"/>
    </row>
    <row r="187" customFormat="false" ht="19.5" hidden="false" customHeight="true" outlineLevel="0" collapsed="false">
      <c r="A187" s="30"/>
      <c r="B187" s="59"/>
      <c r="C187" s="30"/>
      <c r="D187" s="52" t="str">
        <f aca="false">IFERROR(VLOOKUP(C187,①従業員マスタ!$A$4:$I$56,2,0),"")</f>
        <v/>
      </c>
      <c r="E187" s="60"/>
      <c r="F187" s="60"/>
      <c r="G187" s="32"/>
      <c r="H187" s="61" t="str">
        <f aca="false">IFERROR(IF(AND(E187&lt;&gt;"",F187&lt;&gt;""),(F187-E187)*24-IF(G187&lt;&gt;"",G187,0),""),"")</f>
        <v/>
      </c>
      <c r="I187" s="62" t="str">
        <f aca="false">IFERROR(VLOOKUP(C187,①従業員マスタ!$A$4:$I$56,6,0),"")</f>
        <v/>
      </c>
      <c r="J187" s="61" t="str">
        <f aca="false">IFERROR(IF(AND(H187&lt;&gt;"",I187&lt;&gt;""),MAX(H187-I187,0),""),"")</f>
        <v/>
      </c>
      <c r="K187" s="30"/>
    </row>
    <row r="188" customFormat="false" ht="19.5" hidden="false" customHeight="true" outlineLevel="0" collapsed="false">
      <c r="A188" s="34"/>
      <c r="B188" s="55"/>
      <c r="C188" s="34"/>
      <c r="D188" s="48" t="str">
        <f aca="false">IFERROR(VLOOKUP(C188,①従業員マスタ!$A$4:$I$56,2,0),"")</f>
        <v/>
      </c>
      <c r="E188" s="56"/>
      <c r="F188" s="56"/>
      <c r="G188" s="36"/>
      <c r="H188" s="57" t="str">
        <f aca="false">IFERROR(IF(AND(E188&lt;&gt;"",F188&lt;&gt;""),(F188-E188)*24-IF(G188&lt;&gt;"",G188,0),""),"")</f>
        <v/>
      </c>
      <c r="I188" s="58" t="str">
        <f aca="false">IFERROR(VLOOKUP(C188,①従業員マスタ!$A$4:$I$56,6,0),"")</f>
        <v/>
      </c>
      <c r="J188" s="57" t="str">
        <f aca="false">IFERROR(IF(AND(H188&lt;&gt;"",I188&lt;&gt;""),MAX(H188-I188,0),""),"")</f>
        <v/>
      </c>
      <c r="K188" s="34"/>
    </row>
    <row r="189" customFormat="false" ht="19.5" hidden="false" customHeight="true" outlineLevel="0" collapsed="false">
      <c r="A189" s="30"/>
      <c r="B189" s="59"/>
      <c r="C189" s="30"/>
      <c r="D189" s="52" t="str">
        <f aca="false">IFERROR(VLOOKUP(C189,①従業員マスタ!$A$4:$I$56,2,0),"")</f>
        <v/>
      </c>
      <c r="E189" s="60"/>
      <c r="F189" s="60"/>
      <c r="G189" s="32"/>
      <c r="H189" s="61" t="str">
        <f aca="false">IFERROR(IF(AND(E189&lt;&gt;"",F189&lt;&gt;""),(F189-E189)*24-IF(G189&lt;&gt;"",G189,0),""),"")</f>
        <v/>
      </c>
      <c r="I189" s="62" t="str">
        <f aca="false">IFERROR(VLOOKUP(C189,①従業員マスタ!$A$4:$I$56,6,0),"")</f>
        <v/>
      </c>
      <c r="J189" s="61" t="str">
        <f aca="false">IFERROR(IF(AND(H189&lt;&gt;"",I189&lt;&gt;""),MAX(H189-I189,0),""),"")</f>
        <v/>
      </c>
      <c r="K189" s="30"/>
    </row>
    <row r="190" customFormat="false" ht="19.5" hidden="false" customHeight="true" outlineLevel="0" collapsed="false">
      <c r="A190" s="34"/>
      <c r="B190" s="55"/>
      <c r="C190" s="34"/>
      <c r="D190" s="48" t="str">
        <f aca="false">IFERROR(VLOOKUP(C190,①従業員マスタ!$A$4:$I$56,2,0),"")</f>
        <v/>
      </c>
      <c r="E190" s="56"/>
      <c r="F190" s="56"/>
      <c r="G190" s="36"/>
      <c r="H190" s="57" t="str">
        <f aca="false">IFERROR(IF(AND(E190&lt;&gt;"",F190&lt;&gt;""),(F190-E190)*24-IF(G190&lt;&gt;"",G190,0),""),"")</f>
        <v/>
      </c>
      <c r="I190" s="58" t="str">
        <f aca="false">IFERROR(VLOOKUP(C190,①従業員マスタ!$A$4:$I$56,6,0),"")</f>
        <v/>
      </c>
      <c r="J190" s="57" t="str">
        <f aca="false">IFERROR(IF(AND(H190&lt;&gt;"",I190&lt;&gt;""),MAX(H190-I190,0),""),"")</f>
        <v/>
      </c>
      <c r="K190" s="34"/>
    </row>
    <row r="191" customFormat="false" ht="19.5" hidden="false" customHeight="true" outlineLevel="0" collapsed="false">
      <c r="A191" s="30"/>
      <c r="B191" s="59"/>
      <c r="C191" s="30"/>
      <c r="D191" s="52" t="str">
        <f aca="false">IFERROR(VLOOKUP(C191,①従業員マスタ!$A$4:$I$56,2,0),"")</f>
        <v/>
      </c>
      <c r="E191" s="60"/>
      <c r="F191" s="60"/>
      <c r="G191" s="32"/>
      <c r="H191" s="61" t="str">
        <f aca="false">IFERROR(IF(AND(E191&lt;&gt;"",F191&lt;&gt;""),(F191-E191)*24-IF(G191&lt;&gt;"",G191,0),""),"")</f>
        <v/>
      </c>
      <c r="I191" s="62" t="str">
        <f aca="false">IFERROR(VLOOKUP(C191,①従業員マスタ!$A$4:$I$56,6,0),"")</f>
        <v/>
      </c>
      <c r="J191" s="61" t="str">
        <f aca="false">IFERROR(IF(AND(H191&lt;&gt;"",I191&lt;&gt;""),MAX(H191-I191,0),""),"")</f>
        <v/>
      </c>
      <c r="K191" s="30"/>
    </row>
    <row r="192" customFormat="false" ht="19.5" hidden="false" customHeight="true" outlineLevel="0" collapsed="false">
      <c r="A192" s="34"/>
      <c r="B192" s="55"/>
      <c r="C192" s="34"/>
      <c r="D192" s="48" t="str">
        <f aca="false">IFERROR(VLOOKUP(C192,①従業員マスタ!$A$4:$I$56,2,0),"")</f>
        <v/>
      </c>
      <c r="E192" s="56"/>
      <c r="F192" s="56"/>
      <c r="G192" s="36"/>
      <c r="H192" s="57" t="str">
        <f aca="false">IFERROR(IF(AND(E192&lt;&gt;"",F192&lt;&gt;""),(F192-E192)*24-IF(G192&lt;&gt;"",G192,0),""),"")</f>
        <v/>
      </c>
      <c r="I192" s="58" t="str">
        <f aca="false">IFERROR(VLOOKUP(C192,①従業員マスタ!$A$4:$I$56,6,0),"")</f>
        <v/>
      </c>
      <c r="J192" s="57" t="str">
        <f aca="false">IFERROR(IF(AND(H192&lt;&gt;"",I192&lt;&gt;""),MAX(H192-I192,0),""),"")</f>
        <v/>
      </c>
      <c r="K192" s="34"/>
    </row>
    <row r="193" customFormat="false" ht="19.5" hidden="false" customHeight="true" outlineLevel="0" collapsed="false">
      <c r="A193" s="30"/>
      <c r="B193" s="59"/>
      <c r="C193" s="30"/>
      <c r="D193" s="52" t="str">
        <f aca="false">IFERROR(VLOOKUP(C193,①従業員マスタ!$A$4:$I$56,2,0),"")</f>
        <v/>
      </c>
      <c r="E193" s="60"/>
      <c r="F193" s="60"/>
      <c r="G193" s="32"/>
      <c r="H193" s="61" t="str">
        <f aca="false">IFERROR(IF(AND(E193&lt;&gt;"",F193&lt;&gt;""),(F193-E193)*24-IF(G193&lt;&gt;"",G193,0),""),"")</f>
        <v/>
      </c>
      <c r="I193" s="62" t="str">
        <f aca="false">IFERROR(VLOOKUP(C193,①従業員マスタ!$A$4:$I$56,6,0),"")</f>
        <v/>
      </c>
      <c r="J193" s="61" t="str">
        <f aca="false">IFERROR(IF(AND(H193&lt;&gt;"",I193&lt;&gt;""),MAX(H193-I193,0),""),"")</f>
        <v/>
      </c>
      <c r="K193" s="30"/>
    </row>
    <row r="194" customFormat="false" ht="19.5" hidden="false" customHeight="true" outlineLevel="0" collapsed="false">
      <c r="A194" s="34"/>
      <c r="B194" s="55"/>
      <c r="C194" s="34"/>
      <c r="D194" s="48" t="str">
        <f aca="false">IFERROR(VLOOKUP(C194,①従業員マスタ!$A$4:$I$56,2,0),"")</f>
        <v/>
      </c>
      <c r="E194" s="56"/>
      <c r="F194" s="56"/>
      <c r="G194" s="36"/>
      <c r="H194" s="57" t="str">
        <f aca="false">IFERROR(IF(AND(E194&lt;&gt;"",F194&lt;&gt;""),(F194-E194)*24-IF(G194&lt;&gt;"",G194,0),""),"")</f>
        <v/>
      </c>
      <c r="I194" s="58" t="str">
        <f aca="false">IFERROR(VLOOKUP(C194,①従業員マスタ!$A$4:$I$56,6,0),"")</f>
        <v/>
      </c>
      <c r="J194" s="57" t="str">
        <f aca="false">IFERROR(IF(AND(H194&lt;&gt;"",I194&lt;&gt;""),MAX(H194-I194,0),""),"")</f>
        <v/>
      </c>
      <c r="K194" s="34"/>
    </row>
    <row r="195" customFormat="false" ht="19.5" hidden="false" customHeight="true" outlineLevel="0" collapsed="false">
      <c r="A195" s="30"/>
      <c r="B195" s="59"/>
      <c r="C195" s="30"/>
      <c r="D195" s="52" t="str">
        <f aca="false">IFERROR(VLOOKUP(C195,①従業員マスタ!$A$4:$I$56,2,0),"")</f>
        <v/>
      </c>
      <c r="E195" s="60"/>
      <c r="F195" s="60"/>
      <c r="G195" s="32"/>
      <c r="H195" s="61" t="str">
        <f aca="false">IFERROR(IF(AND(E195&lt;&gt;"",F195&lt;&gt;""),(F195-E195)*24-IF(G195&lt;&gt;"",G195,0),""),"")</f>
        <v/>
      </c>
      <c r="I195" s="62" t="str">
        <f aca="false">IFERROR(VLOOKUP(C195,①従業員マスタ!$A$4:$I$56,6,0),"")</f>
        <v/>
      </c>
      <c r="J195" s="61" t="str">
        <f aca="false">IFERROR(IF(AND(H195&lt;&gt;"",I195&lt;&gt;""),MAX(H195-I195,0),""),"")</f>
        <v/>
      </c>
      <c r="K195" s="30"/>
    </row>
    <row r="196" customFormat="false" ht="19.5" hidden="false" customHeight="true" outlineLevel="0" collapsed="false">
      <c r="A196" s="34"/>
      <c r="B196" s="55"/>
      <c r="C196" s="34"/>
      <c r="D196" s="48" t="str">
        <f aca="false">IFERROR(VLOOKUP(C196,①従業員マスタ!$A$4:$I$56,2,0),"")</f>
        <v/>
      </c>
      <c r="E196" s="56"/>
      <c r="F196" s="56"/>
      <c r="G196" s="36"/>
      <c r="H196" s="57" t="str">
        <f aca="false">IFERROR(IF(AND(E196&lt;&gt;"",F196&lt;&gt;""),(F196-E196)*24-IF(G196&lt;&gt;"",G196,0),""),"")</f>
        <v/>
      </c>
      <c r="I196" s="58" t="str">
        <f aca="false">IFERROR(VLOOKUP(C196,①従業員マスタ!$A$4:$I$56,6,0),"")</f>
        <v/>
      </c>
      <c r="J196" s="57" t="str">
        <f aca="false">IFERROR(IF(AND(H196&lt;&gt;"",I196&lt;&gt;""),MAX(H196-I196,0),""),"")</f>
        <v/>
      </c>
      <c r="K196" s="34"/>
    </row>
    <row r="197" customFormat="false" ht="19.5" hidden="false" customHeight="true" outlineLevel="0" collapsed="false">
      <c r="A197" s="30"/>
      <c r="B197" s="59"/>
      <c r="C197" s="30"/>
      <c r="D197" s="52" t="str">
        <f aca="false">IFERROR(VLOOKUP(C197,①従業員マスタ!$A$4:$I$56,2,0),"")</f>
        <v/>
      </c>
      <c r="E197" s="60"/>
      <c r="F197" s="60"/>
      <c r="G197" s="32"/>
      <c r="H197" s="61" t="str">
        <f aca="false">IFERROR(IF(AND(E197&lt;&gt;"",F197&lt;&gt;""),(F197-E197)*24-IF(G197&lt;&gt;"",G197,0),""),"")</f>
        <v/>
      </c>
      <c r="I197" s="62" t="str">
        <f aca="false">IFERROR(VLOOKUP(C197,①従業員マスタ!$A$4:$I$56,6,0),"")</f>
        <v/>
      </c>
      <c r="J197" s="61" t="str">
        <f aca="false">IFERROR(IF(AND(H197&lt;&gt;"",I197&lt;&gt;""),MAX(H197-I197,0),""),"")</f>
        <v/>
      </c>
      <c r="K197" s="30"/>
    </row>
    <row r="198" customFormat="false" ht="19.5" hidden="false" customHeight="true" outlineLevel="0" collapsed="false">
      <c r="A198" s="34"/>
      <c r="B198" s="55"/>
      <c r="C198" s="34"/>
      <c r="D198" s="48" t="str">
        <f aca="false">IFERROR(VLOOKUP(C198,①従業員マスタ!$A$4:$I$56,2,0),"")</f>
        <v/>
      </c>
      <c r="E198" s="56"/>
      <c r="F198" s="56"/>
      <c r="G198" s="36"/>
      <c r="H198" s="57" t="str">
        <f aca="false">IFERROR(IF(AND(E198&lt;&gt;"",F198&lt;&gt;""),(F198-E198)*24-IF(G198&lt;&gt;"",G198,0),""),"")</f>
        <v/>
      </c>
      <c r="I198" s="58" t="str">
        <f aca="false">IFERROR(VLOOKUP(C198,①従業員マスタ!$A$4:$I$56,6,0),"")</f>
        <v/>
      </c>
      <c r="J198" s="57" t="str">
        <f aca="false">IFERROR(IF(AND(H198&lt;&gt;"",I198&lt;&gt;""),MAX(H198-I198,0),""),"")</f>
        <v/>
      </c>
      <c r="K198" s="34"/>
    </row>
    <row r="199" customFormat="false" ht="19.5" hidden="false" customHeight="true" outlineLevel="0" collapsed="false">
      <c r="A199" s="30"/>
      <c r="B199" s="59"/>
      <c r="C199" s="30"/>
      <c r="D199" s="52" t="str">
        <f aca="false">IFERROR(VLOOKUP(C199,①従業員マスタ!$A$4:$I$56,2,0),"")</f>
        <v/>
      </c>
      <c r="E199" s="60"/>
      <c r="F199" s="60"/>
      <c r="G199" s="32"/>
      <c r="H199" s="61" t="str">
        <f aca="false">IFERROR(IF(AND(E199&lt;&gt;"",F199&lt;&gt;""),(F199-E199)*24-IF(G199&lt;&gt;"",G199,0),""),"")</f>
        <v/>
      </c>
      <c r="I199" s="62" t="str">
        <f aca="false">IFERROR(VLOOKUP(C199,①従業員マスタ!$A$4:$I$56,6,0),"")</f>
        <v/>
      </c>
      <c r="J199" s="61" t="str">
        <f aca="false">IFERROR(IF(AND(H199&lt;&gt;"",I199&lt;&gt;""),MAX(H199-I199,0),""),"")</f>
        <v/>
      </c>
      <c r="K199" s="30"/>
    </row>
    <row r="200" customFormat="false" ht="19.5" hidden="false" customHeight="true" outlineLevel="0" collapsed="false">
      <c r="A200" s="34"/>
      <c r="B200" s="55"/>
      <c r="C200" s="34"/>
      <c r="D200" s="48" t="str">
        <f aca="false">IFERROR(VLOOKUP(C200,①従業員マスタ!$A$4:$I$56,2,0),"")</f>
        <v/>
      </c>
      <c r="E200" s="56"/>
      <c r="F200" s="56"/>
      <c r="G200" s="36"/>
      <c r="H200" s="57" t="str">
        <f aca="false">IFERROR(IF(AND(E200&lt;&gt;"",F200&lt;&gt;""),(F200-E200)*24-IF(G200&lt;&gt;"",G200,0),""),"")</f>
        <v/>
      </c>
      <c r="I200" s="58" t="str">
        <f aca="false">IFERROR(VLOOKUP(C200,①従業員マスタ!$A$4:$I$56,6,0),"")</f>
        <v/>
      </c>
      <c r="J200" s="57" t="str">
        <f aca="false">IFERROR(IF(AND(H200&lt;&gt;"",I200&lt;&gt;""),MAX(H200-I200,0),""),"")</f>
        <v/>
      </c>
      <c r="K200" s="34"/>
    </row>
    <row r="201" customFormat="false" ht="19.5" hidden="false" customHeight="true" outlineLevel="0" collapsed="false">
      <c r="A201" s="30"/>
      <c r="B201" s="59"/>
      <c r="C201" s="30"/>
      <c r="D201" s="52" t="str">
        <f aca="false">IFERROR(VLOOKUP(C201,①従業員マスタ!$A$4:$I$56,2,0),"")</f>
        <v/>
      </c>
      <c r="E201" s="60"/>
      <c r="F201" s="60"/>
      <c r="G201" s="32"/>
      <c r="H201" s="61" t="str">
        <f aca="false">IFERROR(IF(AND(E201&lt;&gt;"",F201&lt;&gt;""),(F201-E201)*24-IF(G201&lt;&gt;"",G201,0),""),"")</f>
        <v/>
      </c>
      <c r="I201" s="62" t="str">
        <f aca="false">IFERROR(VLOOKUP(C201,①従業員マスタ!$A$4:$I$56,6,0),"")</f>
        <v/>
      </c>
      <c r="J201" s="61" t="str">
        <f aca="false">IFERROR(IF(AND(H201&lt;&gt;"",I201&lt;&gt;""),MAX(H201-I201,0),""),"")</f>
        <v/>
      </c>
      <c r="K201" s="30"/>
    </row>
    <row r="202" customFormat="false" ht="19.5" hidden="false" customHeight="true" outlineLevel="0" collapsed="false">
      <c r="A202" s="34"/>
      <c r="B202" s="55"/>
      <c r="C202" s="34"/>
      <c r="D202" s="48" t="str">
        <f aca="false">IFERROR(VLOOKUP(C202,①従業員マスタ!$A$4:$I$56,2,0),"")</f>
        <v/>
      </c>
      <c r="E202" s="56"/>
      <c r="F202" s="56"/>
      <c r="G202" s="36"/>
      <c r="H202" s="57" t="str">
        <f aca="false">IFERROR(IF(AND(E202&lt;&gt;"",F202&lt;&gt;""),(F202-E202)*24-IF(G202&lt;&gt;"",G202,0),""),"")</f>
        <v/>
      </c>
      <c r="I202" s="58" t="str">
        <f aca="false">IFERROR(VLOOKUP(C202,①従業員マスタ!$A$4:$I$56,6,0),"")</f>
        <v/>
      </c>
      <c r="J202" s="57" t="str">
        <f aca="false">IFERROR(IF(AND(H202&lt;&gt;"",I202&lt;&gt;""),MAX(H202-I202,0),""),"")</f>
        <v/>
      </c>
      <c r="K202" s="34"/>
    </row>
    <row r="203" customFormat="false" ht="19.5" hidden="false" customHeight="true" outlineLevel="0" collapsed="false">
      <c r="A203" s="30"/>
      <c r="B203" s="59"/>
      <c r="C203" s="30"/>
      <c r="D203" s="52" t="str">
        <f aca="false">IFERROR(VLOOKUP(C203,①従業員マスタ!$A$4:$I$56,2,0),"")</f>
        <v/>
      </c>
      <c r="E203" s="60"/>
      <c r="F203" s="60"/>
      <c r="G203" s="32"/>
      <c r="H203" s="61" t="str">
        <f aca="false">IFERROR(IF(AND(E203&lt;&gt;"",F203&lt;&gt;""),(F203-E203)*24-IF(G203&lt;&gt;"",G203,0),""),"")</f>
        <v/>
      </c>
      <c r="I203" s="62" t="str">
        <f aca="false">IFERROR(VLOOKUP(C203,①従業員マスタ!$A$4:$I$56,6,0),"")</f>
        <v/>
      </c>
      <c r="J203" s="61" t="str">
        <f aca="false">IFERROR(IF(AND(H203&lt;&gt;"",I203&lt;&gt;""),MAX(H203-I203,0),""),"")</f>
        <v/>
      </c>
      <c r="K203" s="30"/>
    </row>
  </sheetData>
  <mergeCells count="2">
    <mergeCell ref="A1:M1"/>
    <mergeCell ref="A2:M2"/>
  </mergeCells>
  <conditionalFormatting sqref="A4:K203">
    <cfRule type="expression" priority="2" aboveAverage="0" equalAverage="0" bottom="0" percent="0" rank="0" text="" dxfId="5">
      <formula>$J4&gt;0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0522D"/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9" min="7" style="0" width="16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3" t="s">
        <v>78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.75" hidden="false" customHeight="true" outlineLevel="0" collapsed="false">
      <c r="A2" s="14" t="s">
        <v>79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27.75" hidden="false" customHeight="true" outlineLevel="0" collapsed="false">
      <c r="A3" s="39" t="s">
        <v>61</v>
      </c>
      <c r="B3" s="40" t="s">
        <v>62</v>
      </c>
      <c r="C3" s="41" t="s">
        <v>80</v>
      </c>
      <c r="D3" s="41"/>
      <c r="E3" s="41"/>
      <c r="F3" s="41"/>
      <c r="G3" s="63" t="s">
        <v>81</v>
      </c>
      <c r="H3" s="63"/>
      <c r="I3" s="63"/>
      <c r="J3" s="63"/>
    </row>
    <row r="4" customFormat="false" ht="27.75" hidden="false" customHeight="true" outlineLevel="0" collapsed="false">
      <c r="A4" s="15" t="s">
        <v>30</v>
      </c>
      <c r="B4" s="15" t="s">
        <v>66</v>
      </c>
      <c r="C4" s="15" t="s">
        <v>82</v>
      </c>
      <c r="D4" s="15" t="s">
        <v>83</v>
      </c>
      <c r="E4" s="15" t="s">
        <v>84</v>
      </c>
      <c r="F4" s="15" t="s">
        <v>85</v>
      </c>
      <c r="G4" s="15" t="s">
        <v>86</v>
      </c>
      <c r="H4" s="15" t="s">
        <v>87</v>
      </c>
      <c r="I4" s="15" t="s">
        <v>88</v>
      </c>
      <c r="J4" s="15" t="s">
        <v>38</v>
      </c>
    </row>
    <row r="5" customFormat="false" ht="19.5" hidden="false" customHeight="true" outlineLevel="0" collapsed="false">
      <c r="A5" s="51"/>
      <c r="B5" s="52" t="str">
        <f aca="false">IFERROR(VLOOKUP(A5,①従業員マスタ!$A$4:$I$56,2,0),"")</f>
        <v/>
      </c>
      <c r="C5" s="64" t="str">
        <f aca="false">IFERROR(VLOOKUP(A5,①従業員マスタ!$A$4:$I$56,4,0),"")</f>
        <v/>
      </c>
      <c r="D5" s="65" t="str">
        <f aca="false">IFERROR(VLOOKUP(A5,①従業員マスタ!$A$4:$I$56,5,0),"")</f>
        <v/>
      </c>
      <c r="E5" s="61" t="n">
        <f aca="false">IFERROR(SUMPRODUCT((③勤怠記録!$C$4:$C$203=A5)*(ISNUMBER(③勤怠記録!$B$4:$B$203))*(MONTH(③勤怠記録!$B$4:$B$203)=MONTH($B$3))*(YEAR(③勤怠記録!$B$4:$B$203)=YEAR($B$3))*(③勤怠記録!$H$4:$H$203)),0)</f>
        <v>0</v>
      </c>
      <c r="F5" s="61" t="n">
        <f aca="false">IFERROR(SUMPRODUCT((③勤怠記録!$C$4:$C$203=A5)*(ISNUMBER(③勤怠記録!$B$4:$B$203))*(MONTH(③勤怠記録!$B$4:$B$203)=MONTH($B$3))*(YEAR(③勤怠記録!$B$4:$B$203)=YEAR($B$3))*(③勤怠記録!$J$4:$J$203)),0)</f>
        <v>0</v>
      </c>
      <c r="G5" s="65" t="str">
        <f aca="false">IFERROR(IF(A5="","",ROUND(D5*E5,0)),"")</f>
        <v/>
      </c>
      <c r="H5" s="65" t="str">
        <f aca="false">IFERROR(IF(A5="","",ROUND(D5*1.25*F5,0)),"")</f>
        <v/>
      </c>
      <c r="I5" s="66" t="str">
        <f aca="false">IFERROR(IF(A5="","",G5+H5),"")</f>
        <v/>
      </c>
      <c r="J5" s="30"/>
    </row>
    <row r="6" customFormat="false" ht="19.5" hidden="false" customHeight="true" outlineLevel="0" collapsed="false">
      <c r="A6" s="47"/>
      <c r="B6" s="48" t="str">
        <f aca="false">IFERROR(VLOOKUP(A6,①従業員マスタ!$A$4:$I$56,2,0),"")</f>
        <v/>
      </c>
      <c r="C6" s="67" t="str">
        <f aca="false">IFERROR(VLOOKUP(A6,①従業員マスタ!$A$4:$I$56,4,0),"")</f>
        <v/>
      </c>
      <c r="D6" s="68" t="str">
        <f aca="false">IFERROR(VLOOKUP(A6,①従業員マスタ!$A$4:$I$56,5,0),"")</f>
        <v/>
      </c>
      <c r="E6" s="57" t="n">
        <f aca="false">IFERROR(SUMPRODUCT((③勤怠記録!$C$4:$C$203=A6)*(ISNUMBER(③勤怠記録!$B$4:$B$203))*(MONTH(③勤怠記録!$B$4:$B$203)=MONTH($B$3))*(YEAR(③勤怠記録!$B$4:$B$203)=YEAR($B$3))*(③勤怠記録!$H$4:$H$203)),0)</f>
        <v>0</v>
      </c>
      <c r="F6" s="57" t="n">
        <f aca="false">IFERROR(SUMPRODUCT((③勤怠記録!$C$4:$C$203=A6)*(ISNUMBER(③勤怠記録!$B$4:$B$203))*(MONTH(③勤怠記録!$B$4:$B$203)=MONTH($B$3))*(YEAR(③勤怠記録!$B$4:$B$203)=YEAR($B$3))*(③勤怠記録!$J$4:$J$203)),0)</f>
        <v>0</v>
      </c>
      <c r="G6" s="68" t="str">
        <f aca="false">IFERROR(IF(A6="","",ROUND(D6*E6,0)),"")</f>
        <v/>
      </c>
      <c r="H6" s="68" t="str">
        <f aca="false">IFERROR(IF(A6="","",ROUND(D6*1.25*F6,0)),"")</f>
        <v/>
      </c>
      <c r="I6" s="69" t="str">
        <f aca="false">IFERROR(IF(A6="","",G6+H6),"")</f>
        <v/>
      </c>
      <c r="J6" s="34"/>
    </row>
    <row r="7" customFormat="false" ht="19.5" hidden="false" customHeight="true" outlineLevel="0" collapsed="false">
      <c r="A7" s="51"/>
      <c r="B7" s="52" t="str">
        <f aca="false">IFERROR(VLOOKUP(A7,①従業員マスタ!$A$4:$I$56,2,0),"")</f>
        <v/>
      </c>
      <c r="C7" s="64" t="str">
        <f aca="false">IFERROR(VLOOKUP(A7,①従業員マスタ!$A$4:$I$56,4,0),"")</f>
        <v/>
      </c>
      <c r="D7" s="65" t="str">
        <f aca="false">IFERROR(VLOOKUP(A7,①従業員マスタ!$A$4:$I$56,5,0),"")</f>
        <v/>
      </c>
      <c r="E7" s="61" t="n">
        <f aca="false">IFERROR(SUMPRODUCT((③勤怠記録!$C$4:$C$203=A7)*(ISNUMBER(③勤怠記録!$B$4:$B$203))*(MONTH(③勤怠記録!$B$4:$B$203)=MONTH($B$3))*(YEAR(③勤怠記録!$B$4:$B$203)=YEAR($B$3))*(③勤怠記録!$H$4:$H$203)),0)</f>
        <v>0</v>
      </c>
      <c r="F7" s="61" t="n">
        <f aca="false">IFERROR(SUMPRODUCT((③勤怠記録!$C$4:$C$203=A7)*(ISNUMBER(③勤怠記録!$B$4:$B$203))*(MONTH(③勤怠記録!$B$4:$B$203)=MONTH($B$3))*(YEAR(③勤怠記録!$B$4:$B$203)=YEAR($B$3))*(③勤怠記録!$J$4:$J$203)),0)</f>
        <v>0</v>
      </c>
      <c r="G7" s="65" t="str">
        <f aca="false">IFERROR(IF(A7="","",ROUND(D7*E7,0)),"")</f>
        <v/>
      </c>
      <c r="H7" s="65" t="str">
        <f aca="false">IFERROR(IF(A7="","",ROUND(D7*1.25*F7,0)),"")</f>
        <v/>
      </c>
      <c r="I7" s="66" t="str">
        <f aca="false">IFERROR(IF(A7="","",G7+H7),"")</f>
        <v/>
      </c>
      <c r="J7" s="30"/>
    </row>
    <row r="8" customFormat="false" ht="19.5" hidden="false" customHeight="true" outlineLevel="0" collapsed="false">
      <c r="A8" s="47"/>
      <c r="B8" s="48" t="str">
        <f aca="false">IFERROR(VLOOKUP(A8,①従業員マスタ!$A$4:$I$56,2,0),"")</f>
        <v/>
      </c>
      <c r="C8" s="67" t="str">
        <f aca="false">IFERROR(VLOOKUP(A8,①従業員マスタ!$A$4:$I$56,4,0),"")</f>
        <v/>
      </c>
      <c r="D8" s="68" t="str">
        <f aca="false">IFERROR(VLOOKUP(A8,①従業員マスタ!$A$4:$I$56,5,0),"")</f>
        <v/>
      </c>
      <c r="E8" s="57" t="n">
        <f aca="false">IFERROR(SUMPRODUCT((③勤怠記録!$C$4:$C$203=A8)*(ISNUMBER(③勤怠記録!$B$4:$B$203))*(MONTH(③勤怠記録!$B$4:$B$203)=MONTH($B$3))*(YEAR(③勤怠記録!$B$4:$B$203)=YEAR($B$3))*(③勤怠記録!$H$4:$H$203)),0)</f>
        <v>0</v>
      </c>
      <c r="F8" s="57" t="n">
        <f aca="false">IFERROR(SUMPRODUCT((③勤怠記録!$C$4:$C$203=A8)*(ISNUMBER(③勤怠記録!$B$4:$B$203))*(MONTH(③勤怠記録!$B$4:$B$203)=MONTH($B$3))*(YEAR(③勤怠記録!$B$4:$B$203)=YEAR($B$3))*(③勤怠記録!$J$4:$J$203)),0)</f>
        <v>0</v>
      </c>
      <c r="G8" s="68" t="str">
        <f aca="false">IFERROR(IF(A8="","",ROUND(D8*E8,0)),"")</f>
        <v/>
      </c>
      <c r="H8" s="68" t="str">
        <f aca="false">IFERROR(IF(A8="","",ROUND(D8*1.25*F8,0)),"")</f>
        <v/>
      </c>
      <c r="I8" s="69" t="str">
        <f aca="false">IFERROR(IF(A8="","",G8+H8),"")</f>
        <v/>
      </c>
      <c r="J8" s="34"/>
    </row>
    <row r="9" customFormat="false" ht="19.5" hidden="false" customHeight="true" outlineLevel="0" collapsed="false">
      <c r="A9" s="51"/>
      <c r="B9" s="52" t="str">
        <f aca="false">IFERROR(VLOOKUP(A9,①従業員マスタ!$A$4:$I$56,2,0),"")</f>
        <v/>
      </c>
      <c r="C9" s="64" t="str">
        <f aca="false">IFERROR(VLOOKUP(A9,①従業員マスタ!$A$4:$I$56,4,0),"")</f>
        <v/>
      </c>
      <c r="D9" s="65" t="str">
        <f aca="false">IFERROR(VLOOKUP(A9,①従業員マスタ!$A$4:$I$56,5,0),"")</f>
        <v/>
      </c>
      <c r="E9" s="61" t="n">
        <f aca="false">IFERROR(SUMPRODUCT((③勤怠記録!$C$4:$C$203=A9)*(ISNUMBER(③勤怠記録!$B$4:$B$203))*(MONTH(③勤怠記録!$B$4:$B$203)=MONTH($B$3))*(YEAR(③勤怠記録!$B$4:$B$203)=YEAR($B$3))*(③勤怠記録!$H$4:$H$203)),0)</f>
        <v>0</v>
      </c>
      <c r="F9" s="61" t="n">
        <f aca="false">IFERROR(SUMPRODUCT((③勤怠記録!$C$4:$C$203=A9)*(ISNUMBER(③勤怠記録!$B$4:$B$203))*(MONTH(③勤怠記録!$B$4:$B$203)=MONTH($B$3))*(YEAR(③勤怠記録!$B$4:$B$203)=YEAR($B$3))*(③勤怠記録!$J$4:$J$203)),0)</f>
        <v>0</v>
      </c>
      <c r="G9" s="65" t="str">
        <f aca="false">IFERROR(IF(A9="","",ROUND(D9*E9,0)),"")</f>
        <v/>
      </c>
      <c r="H9" s="65" t="str">
        <f aca="false">IFERROR(IF(A9="","",ROUND(D9*1.25*F9,0)),"")</f>
        <v/>
      </c>
      <c r="I9" s="66" t="str">
        <f aca="false">IFERROR(IF(A9="","",G9+H9),"")</f>
        <v/>
      </c>
      <c r="J9" s="30"/>
    </row>
    <row r="10" customFormat="false" ht="19.5" hidden="false" customHeight="true" outlineLevel="0" collapsed="false">
      <c r="A10" s="47"/>
      <c r="B10" s="48" t="str">
        <f aca="false">IFERROR(VLOOKUP(A10,①従業員マスタ!$A$4:$I$56,2,0),"")</f>
        <v/>
      </c>
      <c r="C10" s="67" t="str">
        <f aca="false">IFERROR(VLOOKUP(A10,①従業員マスタ!$A$4:$I$56,4,0),"")</f>
        <v/>
      </c>
      <c r="D10" s="68" t="str">
        <f aca="false">IFERROR(VLOOKUP(A10,①従業員マスタ!$A$4:$I$56,5,0),"")</f>
        <v/>
      </c>
      <c r="E10" s="57" t="n">
        <f aca="false">IFERROR(SUMPRODUCT((③勤怠記録!$C$4:$C$203=A10)*(ISNUMBER(③勤怠記録!$B$4:$B$203))*(MONTH(③勤怠記録!$B$4:$B$203)=MONTH($B$3))*(YEAR(③勤怠記録!$B$4:$B$203)=YEAR($B$3))*(③勤怠記録!$H$4:$H$203)),0)</f>
        <v>0</v>
      </c>
      <c r="F10" s="57" t="n">
        <f aca="false">IFERROR(SUMPRODUCT((③勤怠記録!$C$4:$C$203=A10)*(ISNUMBER(③勤怠記録!$B$4:$B$203))*(MONTH(③勤怠記録!$B$4:$B$203)=MONTH($B$3))*(YEAR(③勤怠記録!$B$4:$B$203)=YEAR($B$3))*(③勤怠記録!$J$4:$J$203)),0)</f>
        <v>0</v>
      </c>
      <c r="G10" s="68" t="str">
        <f aca="false">IFERROR(IF(A10="","",ROUND(D10*E10,0)),"")</f>
        <v/>
      </c>
      <c r="H10" s="68" t="str">
        <f aca="false">IFERROR(IF(A10="","",ROUND(D10*1.25*F10,0)),"")</f>
        <v/>
      </c>
      <c r="I10" s="69" t="str">
        <f aca="false">IFERROR(IF(A10="","",G10+H10),"")</f>
        <v/>
      </c>
      <c r="J10" s="34"/>
    </row>
    <row r="11" customFormat="false" ht="19.5" hidden="false" customHeight="true" outlineLevel="0" collapsed="false">
      <c r="A11" s="51"/>
      <c r="B11" s="52" t="str">
        <f aca="false">IFERROR(VLOOKUP(A11,①従業員マスタ!$A$4:$I$56,2,0),"")</f>
        <v/>
      </c>
      <c r="C11" s="64" t="str">
        <f aca="false">IFERROR(VLOOKUP(A11,①従業員マスタ!$A$4:$I$56,4,0),"")</f>
        <v/>
      </c>
      <c r="D11" s="65" t="str">
        <f aca="false">IFERROR(VLOOKUP(A11,①従業員マスタ!$A$4:$I$56,5,0),"")</f>
        <v/>
      </c>
      <c r="E11" s="61" t="n">
        <f aca="false">IFERROR(SUMPRODUCT((③勤怠記録!$C$4:$C$203=A11)*(ISNUMBER(③勤怠記録!$B$4:$B$203))*(MONTH(③勤怠記録!$B$4:$B$203)=MONTH($B$3))*(YEAR(③勤怠記録!$B$4:$B$203)=YEAR($B$3))*(③勤怠記録!$H$4:$H$203)),0)</f>
        <v>0</v>
      </c>
      <c r="F11" s="61" t="n">
        <f aca="false">IFERROR(SUMPRODUCT((③勤怠記録!$C$4:$C$203=A11)*(ISNUMBER(③勤怠記録!$B$4:$B$203))*(MONTH(③勤怠記録!$B$4:$B$203)=MONTH($B$3))*(YEAR(③勤怠記録!$B$4:$B$203)=YEAR($B$3))*(③勤怠記録!$J$4:$J$203)),0)</f>
        <v>0</v>
      </c>
      <c r="G11" s="65" t="str">
        <f aca="false">IFERROR(IF(A11="","",ROUND(D11*E11,0)),"")</f>
        <v/>
      </c>
      <c r="H11" s="65" t="str">
        <f aca="false">IFERROR(IF(A11="","",ROUND(D11*1.25*F11,0)),"")</f>
        <v/>
      </c>
      <c r="I11" s="66" t="str">
        <f aca="false">IFERROR(IF(A11="","",G11+H11),"")</f>
        <v/>
      </c>
      <c r="J11" s="30"/>
    </row>
    <row r="12" customFormat="false" ht="19.5" hidden="false" customHeight="true" outlineLevel="0" collapsed="false">
      <c r="A12" s="47"/>
      <c r="B12" s="48" t="str">
        <f aca="false">IFERROR(VLOOKUP(A12,①従業員マスタ!$A$4:$I$56,2,0),"")</f>
        <v/>
      </c>
      <c r="C12" s="67" t="str">
        <f aca="false">IFERROR(VLOOKUP(A12,①従業員マスタ!$A$4:$I$56,4,0),"")</f>
        <v/>
      </c>
      <c r="D12" s="68" t="str">
        <f aca="false">IFERROR(VLOOKUP(A12,①従業員マスタ!$A$4:$I$56,5,0),"")</f>
        <v/>
      </c>
      <c r="E12" s="57" t="n">
        <f aca="false">IFERROR(SUMPRODUCT((③勤怠記録!$C$4:$C$203=A12)*(ISNUMBER(③勤怠記録!$B$4:$B$203))*(MONTH(③勤怠記録!$B$4:$B$203)=MONTH($B$3))*(YEAR(③勤怠記録!$B$4:$B$203)=YEAR($B$3))*(③勤怠記録!$H$4:$H$203)),0)</f>
        <v>0</v>
      </c>
      <c r="F12" s="57" t="n">
        <f aca="false">IFERROR(SUMPRODUCT((③勤怠記録!$C$4:$C$203=A12)*(ISNUMBER(③勤怠記録!$B$4:$B$203))*(MONTH(③勤怠記録!$B$4:$B$203)=MONTH($B$3))*(YEAR(③勤怠記録!$B$4:$B$203)=YEAR($B$3))*(③勤怠記録!$J$4:$J$203)),0)</f>
        <v>0</v>
      </c>
      <c r="G12" s="68" t="str">
        <f aca="false">IFERROR(IF(A12="","",ROUND(D12*E12,0)),"")</f>
        <v/>
      </c>
      <c r="H12" s="68" t="str">
        <f aca="false">IFERROR(IF(A12="","",ROUND(D12*1.25*F12,0)),"")</f>
        <v/>
      </c>
      <c r="I12" s="69" t="str">
        <f aca="false">IFERROR(IF(A12="","",G12+H12),"")</f>
        <v/>
      </c>
      <c r="J12" s="34"/>
    </row>
    <row r="13" customFormat="false" ht="19.5" hidden="false" customHeight="true" outlineLevel="0" collapsed="false">
      <c r="A13" s="51"/>
      <c r="B13" s="52" t="str">
        <f aca="false">IFERROR(VLOOKUP(A13,①従業員マスタ!$A$4:$I$56,2,0),"")</f>
        <v/>
      </c>
      <c r="C13" s="64" t="str">
        <f aca="false">IFERROR(VLOOKUP(A13,①従業員マスタ!$A$4:$I$56,4,0),"")</f>
        <v/>
      </c>
      <c r="D13" s="65" t="str">
        <f aca="false">IFERROR(VLOOKUP(A13,①従業員マスタ!$A$4:$I$56,5,0),"")</f>
        <v/>
      </c>
      <c r="E13" s="61" t="n">
        <f aca="false">IFERROR(SUMPRODUCT((③勤怠記録!$C$4:$C$203=A13)*(ISNUMBER(③勤怠記録!$B$4:$B$203))*(MONTH(③勤怠記録!$B$4:$B$203)=MONTH($B$3))*(YEAR(③勤怠記録!$B$4:$B$203)=YEAR($B$3))*(③勤怠記録!$H$4:$H$203)),0)</f>
        <v>0</v>
      </c>
      <c r="F13" s="61" t="n">
        <f aca="false">IFERROR(SUMPRODUCT((③勤怠記録!$C$4:$C$203=A13)*(ISNUMBER(③勤怠記録!$B$4:$B$203))*(MONTH(③勤怠記録!$B$4:$B$203)=MONTH($B$3))*(YEAR(③勤怠記録!$B$4:$B$203)=YEAR($B$3))*(③勤怠記録!$J$4:$J$203)),0)</f>
        <v>0</v>
      </c>
      <c r="G13" s="65" t="str">
        <f aca="false">IFERROR(IF(A13="","",ROUND(D13*E13,0)),"")</f>
        <v/>
      </c>
      <c r="H13" s="65" t="str">
        <f aca="false">IFERROR(IF(A13="","",ROUND(D13*1.25*F13,0)),"")</f>
        <v/>
      </c>
      <c r="I13" s="66" t="str">
        <f aca="false">IFERROR(IF(A13="","",G13+H13),"")</f>
        <v/>
      </c>
      <c r="J13" s="30"/>
    </row>
    <row r="14" customFormat="false" ht="19.5" hidden="false" customHeight="true" outlineLevel="0" collapsed="false">
      <c r="A14" s="47"/>
      <c r="B14" s="48" t="str">
        <f aca="false">IFERROR(VLOOKUP(A14,①従業員マスタ!$A$4:$I$56,2,0),"")</f>
        <v/>
      </c>
      <c r="C14" s="67" t="str">
        <f aca="false">IFERROR(VLOOKUP(A14,①従業員マスタ!$A$4:$I$56,4,0),"")</f>
        <v/>
      </c>
      <c r="D14" s="68" t="str">
        <f aca="false">IFERROR(VLOOKUP(A14,①従業員マスタ!$A$4:$I$56,5,0),"")</f>
        <v/>
      </c>
      <c r="E14" s="57" t="n">
        <f aca="false">IFERROR(SUMPRODUCT((③勤怠記録!$C$4:$C$203=A14)*(ISNUMBER(③勤怠記録!$B$4:$B$203))*(MONTH(③勤怠記録!$B$4:$B$203)=MONTH($B$3))*(YEAR(③勤怠記録!$B$4:$B$203)=YEAR($B$3))*(③勤怠記録!$H$4:$H$203)),0)</f>
        <v>0</v>
      </c>
      <c r="F14" s="57" t="n">
        <f aca="false">IFERROR(SUMPRODUCT((③勤怠記録!$C$4:$C$203=A14)*(ISNUMBER(③勤怠記録!$B$4:$B$203))*(MONTH(③勤怠記録!$B$4:$B$203)=MONTH($B$3))*(YEAR(③勤怠記録!$B$4:$B$203)=YEAR($B$3))*(③勤怠記録!$J$4:$J$203)),0)</f>
        <v>0</v>
      </c>
      <c r="G14" s="68" t="str">
        <f aca="false">IFERROR(IF(A14="","",ROUND(D14*E14,0)),"")</f>
        <v/>
      </c>
      <c r="H14" s="68" t="str">
        <f aca="false">IFERROR(IF(A14="","",ROUND(D14*1.25*F14,0)),"")</f>
        <v/>
      </c>
      <c r="I14" s="69" t="str">
        <f aca="false">IFERROR(IF(A14="","",G14+H14),"")</f>
        <v/>
      </c>
      <c r="J14" s="34"/>
    </row>
    <row r="15" customFormat="false" ht="19.5" hidden="false" customHeight="true" outlineLevel="0" collapsed="false">
      <c r="A15" s="51"/>
      <c r="B15" s="52" t="str">
        <f aca="false">IFERROR(VLOOKUP(A15,①従業員マスタ!$A$4:$I$56,2,0),"")</f>
        <v/>
      </c>
      <c r="C15" s="64" t="str">
        <f aca="false">IFERROR(VLOOKUP(A15,①従業員マスタ!$A$4:$I$56,4,0),"")</f>
        <v/>
      </c>
      <c r="D15" s="65" t="str">
        <f aca="false">IFERROR(VLOOKUP(A15,①従業員マスタ!$A$4:$I$56,5,0),"")</f>
        <v/>
      </c>
      <c r="E15" s="61" t="n">
        <f aca="false">IFERROR(SUMPRODUCT((③勤怠記録!$C$4:$C$203=A15)*(ISNUMBER(③勤怠記録!$B$4:$B$203))*(MONTH(③勤怠記録!$B$4:$B$203)=MONTH($B$3))*(YEAR(③勤怠記録!$B$4:$B$203)=YEAR($B$3))*(③勤怠記録!$H$4:$H$203)),0)</f>
        <v>0</v>
      </c>
      <c r="F15" s="61" t="n">
        <f aca="false">IFERROR(SUMPRODUCT((③勤怠記録!$C$4:$C$203=A15)*(ISNUMBER(③勤怠記録!$B$4:$B$203))*(MONTH(③勤怠記録!$B$4:$B$203)=MONTH($B$3))*(YEAR(③勤怠記録!$B$4:$B$203)=YEAR($B$3))*(③勤怠記録!$J$4:$J$203)),0)</f>
        <v>0</v>
      </c>
      <c r="G15" s="65" t="str">
        <f aca="false">IFERROR(IF(A15="","",ROUND(D15*E15,0)),"")</f>
        <v/>
      </c>
      <c r="H15" s="65" t="str">
        <f aca="false">IFERROR(IF(A15="","",ROUND(D15*1.25*F15,0)),"")</f>
        <v/>
      </c>
      <c r="I15" s="66" t="str">
        <f aca="false">IFERROR(IF(A15="","",G15+H15),"")</f>
        <v/>
      </c>
      <c r="J15" s="30"/>
    </row>
    <row r="16" customFormat="false" ht="19.5" hidden="false" customHeight="true" outlineLevel="0" collapsed="false">
      <c r="A16" s="47"/>
      <c r="B16" s="48" t="str">
        <f aca="false">IFERROR(VLOOKUP(A16,①従業員マスタ!$A$4:$I$56,2,0),"")</f>
        <v/>
      </c>
      <c r="C16" s="67" t="str">
        <f aca="false">IFERROR(VLOOKUP(A16,①従業員マスタ!$A$4:$I$56,4,0),"")</f>
        <v/>
      </c>
      <c r="D16" s="68" t="str">
        <f aca="false">IFERROR(VLOOKUP(A16,①従業員マスタ!$A$4:$I$56,5,0),"")</f>
        <v/>
      </c>
      <c r="E16" s="57" t="n">
        <f aca="false">IFERROR(SUMPRODUCT((③勤怠記録!$C$4:$C$203=A16)*(ISNUMBER(③勤怠記録!$B$4:$B$203))*(MONTH(③勤怠記録!$B$4:$B$203)=MONTH($B$3))*(YEAR(③勤怠記録!$B$4:$B$203)=YEAR($B$3))*(③勤怠記録!$H$4:$H$203)),0)</f>
        <v>0</v>
      </c>
      <c r="F16" s="57" t="n">
        <f aca="false">IFERROR(SUMPRODUCT((③勤怠記録!$C$4:$C$203=A16)*(ISNUMBER(③勤怠記録!$B$4:$B$203))*(MONTH(③勤怠記録!$B$4:$B$203)=MONTH($B$3))*(YEAR(③勤怠記録!$B$4:$B$203)=YEAR($B$3))*(③勤怠記録!$J$4:$J$203)),0)</f>
        <v>0</v>
      </c>
      <c r="G16" s="68" t="str">
        <f aca="false">IFERROR(IF(A16="","",ROUND(D16*E16,0)),"")</f>
        <v/>
      </c>
      <c r="H16" s="68" t="str">
        <f aca="false">IFERROR(IF(A16="","",ROUND(D16*1.25*F16,0)),"")</f>
        <v/>
      </c>
      <c r="I16" s="69" t="str">
        <f aca="false">IFERROR(IF(A16="","",G16+H16),"")</f>
        <v/>
      </c>
      <c r="J16" s="34"/>
    </row>
    <row r="17" customFormat="false" ht="19.5" hidden="false" customHeight="true" outlineLevel="0" collapsed="false">
      <c r="A17" s="51"/>
      <c r="B17" s="52" t="str">
        <f aca="false">IFERROR(VLOOKUP(A17,①従業員マスタ!$A$4:$I$56,2,0),"")</f>
        <v/>
      </c>
      <c r="C17" s="64" t="str">
        <f aca="false">IFERROR(VLOOKUP(A17,①従業員マスタ!$A$4:$I$56,4,0),"")</f>
        <v/>
      </c>
      <c r="D17" s="65" t="str">
        <f aca="false">IFERROR(VLOOKUP(A17,①従業員マスタ!$A$4:$I$56,5,0),"")</f>
        <v/>
      </c>
      <c r="E17" s="61" t="n">
        <f aca="false">IFERROR(SUMPRODUCT((③勤怠記録!$C$4:$C$203=A17)*(ISNUMBER(③勤怠記録!$B$4:$B$203))*(MONTH(③勤怠記録!$B$4:$B$203)=MONTH($B$3))*(YEAR(③勤怠記録!$B$4:$B$203)=YEAR($B$3))*(③勤怠記録!$H$4:$H$203)),0)</f>
        <v>0</v>
      </c>
      <c r="F17" s="61" t="n">
        <f aca="false">IFERROR(SUMPRODUCT((③勤怠記録!$C$4:$C$203=A17)*(ISNUMBER(③勤怠記録!$B$4:$B$203))*(MONTH(③勤怠記録!$B$4:$B$203)=MONTH($B$3))*(YEAR(③勤怠記録!$B$4:$B$203)=YEAR($B$3))*(③勤怠記録!$J$4:$J$203)),0)</f>
        <v>0</v>
      </c>
      <c r="G17" s="65" t="str">
        <f aca="false">IFERROR(IF(A17="","",ROUND(D17*E17,0)),"")</f>
        <v/>
      </c>
      <c r="H17" s="65" t="str">
        <f aca="false">IFERROR(IF(A17="","",ROUND(D17*1.25*F17,0)),"")</f>
        <v/>
      </c>
      <c r="I17" s="66" t="str">
        <f aca="false">IFERROR(IF(A17="","",G17+H17),"")</f>
        <v/>
      </c>
      <c r="J17" s="30"/>
    </row>
    <row r="18" customFormat="false" ht="19.5" hidden="false" customHeight="true" outlineLevel="0" collapsed="false">
      <c r="A18" s="47"/>
      <c r="B18" s="48" t="str">
        <f aca="false">IFERROR(VLOOKUP(A18,①従業員マスタ!$A$4:$I$56,2,0),"")</f>
        <v/>
      </c>
      <c r="C18" s="67" t="str">
        <f aca="false">IFERROR(VLOOKUP(A18,①従業員マスタ!$A$4:$I$56,4,0),"")</f>
        <v/>
      </c>
      <c r="D18" s="68" t="str">
        <f aca="false">IFERROR(VLOOKUP(A18,①従業員マスタ!$A$4:$I$56,5,0),"")</f>
        <v/>
      </c>
      <c r="E18" s="57" t="n">
        <f aca="false">IFERROR(SUMPRODUCT((③勤怠記録!$C$4:$C$203=A18)*(ISNUMBER(③勤怠記録!$B$4:$B$203))*(MONTH(③勤怠記録!$B$4:$B$203)=MONTH($B$3))*(YEAR(③勤怠記録!$B$4:$B$203)=YEAR($B$3))*(③勤怠記録!$H$4:$H$203)),0)</f>
        <v>0</v>
      </c>
      <c r="F18" s="57" t="n">
        <f aca="false">IFERROR(SUMPRODUCT((③勤怠記録!$C$4:$C$203=A18)*(ISNUMBER(③勤怠記録!$B$4:$B$203))*(MONTH(③勤怠記録!$B$4:$B$203)=MONTH($B$3))*(YEAR(③勤怠記録!$B$4:$B$203)=YEAR($B$3))*(③勤怠記録!$J$4:$J$203)),0)</f>
        <v>0</v>
      </c>
      <c r="G18" s="68" t="str">
        <f aca="false">IFERROR(IF(A18="","",ROUND(D18*E18,0)),"")</f>
        <v/>
      </c>
      <c r="H18" s="68" t="str">
        <f aca="false">IFERROR(IF(A18="","",ROUND(D18*1.25*F18,0)),"")</f>
        <v/>
      </c>
      <c r="I18" s="69" t="str">
        <f aca="false">IFERROR(IF(A18="","",G18+H18),"")</f>
        <v/>
      </c>
      <c r="J18" s="34"/>
    </row>
    <row r="19" customFormat="false" ht="19.5" hidden="false" customHeight="true" outlineLevel="0" collapsed="false">
      <c r="A19" s="51"/>
      <c r="B19" s="52" t="str">
        <f aca="false">IFERROR(VLOOKUP(A19,①従業員マスタ!$A$4:$I$56,2,0),"")</f>
        <v/>
      </c>
      <c r="C19" s="64" t="str">
        <f aca="false">IFERROR(VLOOKUP(A19,①従業員マスタ!$A$4:$I$56,4,0),"")</f>
        <v/>
      </c>
      <c r="D19" s="65" t="str">
        <f aca="false">IFERROR(VLOOKUP(A19,①従業員マスタ!$A$4:$I$56,5,0),"")</f>
        <v/>
      </c>
      <c r="E19" s="61" t="n">
        <f aca="false">IFERROR(SUMPRODUCT((③勤怠記録!$C$4:$C$203=A19)*(ISNUMBER(③勤怠記録!$B$4:$B$203))*(MONTH(③勤怠記録!$B$4:$B$203)=MONTH($B$3))*(YEAR(③勤怠記録!$B$4:$B$203)=YEAR($B$3))*(③勤怠記録!$H$4:$H$203)),0)</f>
        <v>0</v>
      </c>
      <c r="F19" s="61" t="n">
        <f aca="false">IFERROR(SUMPRODUCT((③勤怠記録!$C$4:$C$203=A19)*(ISNUMBER(③勤怠記録!$B$4:$B$203))*(MONTH(③勤怠記録!$B$4:$B$203)=MONTH($B$3))*(YEAR(③勤怠記録!$B$4:$B$203)=YEAR($B$3))*(③勤怠記録!$J$4:$J$203)),0)</f>
        <v>0</v>
      </c>
      <c r="G19" s="65" t="str">
        <f aca="false">IFERROR(IF(A19="","",ROUND(D19*E19,0)),"")</f>
        <v/>
      </c>
      <c r="H19" s="65" t="str">
        <f aca="false">IFERROR(IF(A19="","",ROUND(D19*1.25*F19,0)),"")</f>
        <v/>
      </c>
      <c r="I19" s="66" t="str">
        <f aca="false">IFERROR(IF(A19="","",G19+H19),"")</f>
        <v/>
      </c>
      <c r="J19" s="30"/>
    </row>
    <row r="20" customFormat="false" ht="19.5" hidden="false" customHeight="true" outlineLevel="0" collapsed="false">
      <c r="A20" s="47"/>
      <c r="B20" s="48" t="str">
        <f aca="false">IFERROR(VLOOKUP(A20,①従業員マスタ!$A$4:$I$56,2,0),"")</f>
        <v/>
      </c>
      <c r="C20" s="67" t="str">
        <f aca="false">IFERROR(VLOOKUP(A20,①従業員マスタ!$A$4:$I$56,4,0),"")</f>
        <v/>
      </c>
      <c r="D20" s="68" t="str">
        <f aca="false">IFERROR(VLOOKUP(A20,①従業員マスタ!$A$4:$I$56,5,0),"")</f>
        <v/>
      </c>
      <c r="E20" s="57" t="n">
        <f aca="false">IFERROR(SUMPRODUCT((③勤怠記録!$C$4:$C$203=A20)*(ISNUMBER(③勤怠記録!$B$4:$B$203))*(MONTH(③勤怠記録!$B$4:$B$203)=MONTH($B$3))*(YEAR(③勤怠記録!$B$4:$B$203)=YEAR($B$3))*(③勤怠記録!$H$4:$H$203)),0)</f>
        <v>0</v>
      </c>
      <c r="F20" s="57" t="n">
        <f aca="false">IFERROR(SUMPRODUCT((③勤怠記録!$C$4:$C$203=A20)*(ISNUMBER(③勤怠記録!$B$4:$B$203))*(MONTH(③勤怠記録!$B$4:$B$203)=MONTH($B$3))*(YEAR(③勤怠記録!$B$4:$B$203)=YEAR($B$3))*(③勤怠記録!$J$4:$J$203)),0)</f>
        <v>0</v>
      </c>
      <c r="G20" s="68" t="str">
        <f aca="false">IFERROR(IF(A20="","",ROUND(D20*E20,0)),"")</f>
        <v/>
      </c>
      <c r="H20" s="68" t="str">
        <f aca="false">IFERROR(IF(A20="","",ROUND(D20*1.25*F20,0)),"")</f>
        <v/>
      </c>
      <c r="I20" s="69" t="str">
        <f aca="false">IFERROR(IF(A20="","",G20+H20),"")</f>
        <v/>
      </c>
      <c r="J20" s="34"/>
    </row>
    <row r="21" customFormat="false" ht="19.5" hidden="false" customHeight="true" outlineLevel="0" collapsed="false">
      <c r="A21" s="51"/>
      <c r="B21" s="52" t="str">
        <f aca="false">IFERROR(VLOOKUP(A21,①従業員マスタ!$A$4:$I$56,2,0),"")</f>
        <v/>
      </c>
      <c r="C21" s="64" t="str">
        <f aca="false">IFERROR(VLOOKUP(A21,①従業員マスタ!$A$4:$I$56,4,0),"")</f>
        <v/>
      </c>
      <c r="D21" s="65" t="str">
        <f aca="false">IFERROR(VLOOKUP(A21,①従業員マスタ!$A$4:$I$56,5,0),"")</f>
        <v/>
      </c>
      <c r="E21" s="61" t="n">
        <f aca="false">IFERROR(SUMPRODUCT((③勤怠記録!$C$4:$C$203=A21)*(ISNUMBER(③勤怠記録!$B$4:$B$203))*(MONTH(③勤怠記録!$B$4:$B$203)=MONTH($B$3))*(YEAR(③勤怠記録!$B$4:$B$203)=YEAR($B$3))*(③勤怠記録!$H$4:$H$203)),0)</f>
        <v>0</v>
      </c>
      <c r="F21" s="61" t="n">
        <f aca="false">IFERROR(SUMPRODUCT((③勤怠記録!$C$4:$C$203=A21)*(ISNUMBER(③勤怠記録!$B$4:$B$203))*(MONTH(③勤怠記録!$B$4:$B$203)=MONTH($B$3))*(YEAR(③勤怠記録!$B$4:$B$203)=YEAR($B$3))*(③勤怠記録!$J$4:$J$203)),0)</f>
        <v>0</v>
      </c>
      <c r="G21" s="65" t="str">
        <f aca="false">IFERROR(IF(A21="","",ROUND(D21*E21,0)),"")</f>
        <v/>
      </c>
      <c r="H21" s="65" t="str">
        <f aca="false">IFERROR(IF(A21="","",ROUND(D21*1.25*F21,0)),"")</f>
        <v/>
      </c>
      <c r="I21" s="66" t="str">
        <f aca="false">IFERROR(IF(A21="","",G21+H21),"")</f>
        <v/>
      </c>
      <c r="J21" s="30"/>
    </row>
    <row r="22" customFormat="false" ht="19.5" hidden="false" customHeight="true" outlineLevel="0" collapsed="false">
      <c r="A22" s="47"/>
      <c r="B22" s="48" t="str">
        <f aca="false">IFERROR(VLOOKUP(A22,①従業員マスタ!$A$4:$I$56,2,0),"")</f>
        <v/>
      </c>
      <c r="C22" s="67" t="str">
        <f aca="false">IFERROR(VLOOKUP(A22,①従業員マスタ!$A$4:$I$56,4,0),"")</f>
        <v/>
      </c>
      <c r="D22" s="68" t="str">
        <f aca="false">IFERROR(VLOOKUP(A22,①従業員マスタ!$A$4:$I$56,5,0),"")</f>
        <v/>
      </c>
      <c r="E22" s="57" t="n">
        <f aca="false">IFERROR(SUMPRODUCT((③勤怠記録!$C$4:$C$203=A22)*(ISNUMBER(③勤怠記録!$B$4:$B$203))*(MONTH(③勤怠記録!$B$4:$B$203)=MONTH($B$3))*(YEAR(③勤怠記録!$B$4:$B$203)=YEAR($B$3))*(③勤怠記録!$H$4:$H$203)),0)</f>
        <v>0</v>
      </c>
      <c r="F22" s="57" t="n">
        <f aca="false">IFERROR(SUMPRODUCT((③勤怠記録!$C$4:$C$203=A22)*(ISNUMBER(③勤怠記録!$B$4:$B$203))*(MONTH(③勤怠記録!$B$4:$B$203)=MONTH($B$3))*(YEAR(③勤怠記録!$B$4:$B$203)=YEAR($B$3))*(③勤怠記録!$J$4:$J$203)),0)</f>
        <v>0</v>
      </c>
      <c r="G22" s="68" t="str">
        <f aca="false">IFERROR(IF(A22="","",ROUND(D22*E22,0)),"")</f>
        <v/>
      </c>
      <c r="H22" s="68" t="str">
        <f aca="false">IFERROR(IF(A22="","",ROUND(D22*1.25*F22,0)),"")</f>
        <v/>
      </c>
      <c r="I22" s="69" t="str">
        <f aca="false">IFERROR(IF(A22="","",G22+H22),"")</f>
        <v/>
      </c>
      <c r="J22" s="34"/>
    </row>
    <row r="23" customFormat="false" ht="19.5" hidden="false" customHeight="true" outlineLevel="0" collapsed="false">
      <c r="A23" s="51"/>
      <c r="B23" s="52" t="str">
        <f aca="false">IFERROR(VLOOKUP(A23,①従業員マスタ!$A$4:$I$56,2,0),"")</f>
        <v/>
      </c>
      <c r="C23" s="64" t="str">
        <f aca="false">IFERROR(VLOOKUP(A23,①従業員マスタ!$A$4:$I$56,4,0),"")</f>
        <v/>
      </c>
      <c r="D23" s="65" t="str">
        <f aca="false">IFERROR(VLOOKUP(A23,①従業員マスタ!$A$4:$I$56,5,0),"")</f>
        <v/>
      </c>
      <c r="E23" s="61" t="n">
        <f aca="false">IFERROR(SUMPRODUCT((③勤怠記録!$C$4:$C$203=A23)*(ISNUMBER(③勤怠記録!$B$4:$B$203))*(MONTH(③勤怠記録!$B$4:$B$203)=MONTH($B$3))*(YEAR(③勤怠記録!$B$4:$B$203)=YEAR($B$3))*(③勤怠記録!$H$4:$H$203)),0)</f>
        <v>0</v>
      </c>
      <c r="F23" s="61" t="n">
        <f aca="false">IFERROR(SUMPRODUCT((③勤怠記録!$C$4:$C$203=A23)*(ISNUMBER(③勤怠記録!$B$4:$B$203))*(MONTH(③勤怠記録!$B$4:$B$203)=MONTH($B$3))*(YEAR(③勤怠記録!$B$4:$B$203)=YEAR($B$3))*(③勤怠記録!$J$4:$J$203)),0)</f>
        <v>0</v>
      </c>
      <c r="G23" s="65" t="str">
        <f aca="false">IFERROR(IF(A23="","",ROUND(D23*E23,0)),"")</f>
        <v/>
      </c>
      <c r="H23" s="65" t="str">
        <f aca="false">IFERROR(IF(A23="","",ROUND(D23*1.25*F23,0)),"")</f>
        <v/>
      </c>
      <c r="I23" s="66" t="str">
        <f aca="false">IFERROR(IF(A23="","",G23+H23),"")</f>
        <v/>
      </c>
      <c r="J23" s="30"/>
    </row>
    <row r="24" customFormat="false" ht="19.5" hidden="false" customHeight="true" outlineLevel="0" collapsed="false">
      <c r="A24" s="47"/>
      <c r="B24" s="48" t="str">
        <f aca="false">IFERROR(VLOOKUP(A24,①従業員マスタ!$A$4:$I$56,2,0),"")</f>
        <v/>
      </c>
      <c r="C24" s="67" t="str">
        <f aca="false">IFERROR(VLOOKUP(A24,①従業員マスタ!$A$4:$I$56,4,0),"")</f>
        <v/>
      </c>
      <c r="D24" s="68" t="str">
        <f aca="false">IFERROR(VLOOKUP(A24,①従業員マスタ!$A$4:$I$56,5,0),"")</f>
        <v/>
      </c>
      <c r="E24" s="57" t="n">
        <f aca="false">IFERROR(SUMPRODUCT((③勤怠記録!$C$4:$C$203=A24)*(ISNUMBER(③勤怠記録!$B$4:$B$203))*(MONTH(③勤怠記録!$B$4:$B$203)=MONTH($B$3))*(YEAR(③勤怠記録!$B$4:$B$203)=YEAR($B$3))*(③勤怠記録!$H$4:$H$203)),0)</f>
        <v>0</v>
      </c>
      <c r="F24" s="57" t="n">
        <f aca="false">IFERROR(SUMPRODUCT((③勤怠記録!$C$4:$C$203=A24)*(ISNUMBER(③勤怠記録!$B$4:$B$203))*(MONTH(③勤怠記録!$B$4:$B$203)=MONTH($B$3))*(YEAR(③勤怠記録!$B$4:$B$203)=YEAR($B$3))*(③勤怠記録!$J$4:$J$203)),0)</f>
        <v>0</v>
      </c>
      <c r="G24" s="68" t="str">
        <f aca="false">IFERROR(IF(A24="","",ROUND(D24*E24,0)),"")</f>
        <v/>
      </c>
      <c r="H24" s="68" t="str">
        <f aca="false">IFERROR(IF(A24="","",ROUND(D24*1.25*F24,0)),"")</f>
        <v/>
      </c>
      <c r="I24" s="69" t="str">
        <f aca="false">IFERROR(IF(A24="","",G24+H24),"")</f>
        <v/>
      </c>
      <c r="J24" s="34"/>
    </row>
    <row r="25" customFormat="false" ht="19.5" hidden="false" customHeight="true" outlineLevel="0" collapsed="false">
      <c r="A25" s="51"/>
      <c r="B25" s="52" t="str">
        <f aca="false">IFERROR(VLOOKUP(A25,①従業員マスタ!$A$4:$I$56,2,0),"")</f>
        <v/>
      </c>
      <c r="C25" s="64" t="str">
        <f aca="false">IFERROR(VLOOKUP(A25,①従業員マスタ!$A$4:$I$56,4,0),"")</f>
        <v/>
      </c>
      <c r="D25" s="65" t="str">
        <f aca="false">IFERROR(VLOOKUP(A25,①従業員マスタ!$A$4:$I$56,5,0),"")</f>
        <v/>
      </c>
      <c r="E25" s="61" t="n">
        <f aca="false">IFERROR(SUMPRODUCT((③勤怠記録!$C$4:$C$203=A25)*(ISNUMBER(③勤怠記録!$B$4:$B$203))*(MONTH(③勤怠記録!$B$4:$B$203)=MONTH($B$3))*(YEAR(③勤怠記録!$B$4:$B$203)=YEAR($B$3))*(③勤怠記録!$H$4:$H$203)),0)</f>
        <v>0</v>
      </c>
      <c r="F25" s="61" t="n">
        <f aca="false">IFERROR(SUMPRODUCT((③勤怠記録!$C$4:$C$203=A25)*(ISNUMBER(③勤怠記録!$B$4:$B$203))*(MONTH(③勤怠記録!$B$4:$B$203)=MONTH($B$3))*(YEAR(③勤怠記録!$B$4:$B$203)=YEAR($B$3))*(③勤怠記録!$J$4:$J$203)),0)</f>
        <v>0</v>
      </c>
      <c r="G25" s="65" t="str">
        <f aca="false">IFERROR(IF(A25="","",ROUND(D25*E25,0)),"")</f>
        <v/>
      </c>
      <c r="H25" s="65" t="str">
        <f aca="false">IFERROR(IF(A25="","",ROUND(D25*1.25*F25,0)),"")</f>
        <v/>
      </c>
      <c r="I25" s="66" t="str">
        <f aca="false">IFERROR(IF(A25="","",G25+H25),"")</f>
        <v/>
      </c>
      <c r="J25" s="30"/>
    </row>
    <row r="26" customFormat="false" ht="19.5" hidden="false" customHeight="true" outlineLevel="0" collapsed="false">
      <c r="A26" s="47"/>
      <c r="B26" s="48" t="str">
        <f aca="false">IFERROR(VLOOKUP(A26,①従業員マスタ!$A$4:$I$56,2,0),"")</f>
        <v/>
      </c>
      <c r="C26" s="67" t="str">
        <f aca="false">IFERROR(VLOOKUP(A26,①従業員マスタ!$A$4:$I$56,4,0),"")</f>
        <v/>
      </c>
      <c r="D26" s="68" t="str">
        <f aca="false">IFERROR(VLOOKUP(A26,①従業員マスタ!$A$4:$I$56,5,0),"")</f>
        <v/>
      </c>
      <c r="E26" s="57" t="n">
        <f aca="false">IFERROR(SUMPRODUCT((③勤怠記録!$C$4:$C$203=A26)*(ISNUMBER(③勤怠記録!$B$4:$B$203))*(MONTH(③勤怠記録!$B$4:$B$203)=MONTH($B$3))*(YEAR(③勤怠記録!$B$4:$B$203)=YEAR($B$3))*(③勤怠記録!$H$4:$H$203)),0)</f>
        <v>0</v>
      </c>
      <c r="F26" s="57" t="n">
        <f aca="false">IFERROR(SUMPRODUCT((③勤怠記録!$C$4:$C$203=A26)*(ISNUMBER(③勤怠記録!$B$4:$B$203))*(MONTH(③勤怠記録!$B$4:$B$203)=MONTH($B$3))*(YEAR(③勤怠記録!$B$4:$B$203)=YEAR($B$3))*(③勤怠記録!$J$4:$J$203)),0)</f>
        <v>0</v>
      </c>
      <c r="G26" s="68" t="str">
        <f aca="false">IFERROR(IF(A26="","",ROUND(D26*E26,0)),"")</f>
        <v/>
      </c>
      <c r="H26" s="68" t="str">
        <f aca="false">IFERROR(IF(A26="","",ROUND(D26*1.25*F26,0)),"")</f>
        <v/>
      </c>
      <c r="I26" s="69" t="str">
        <f aca="false">IFERROR(IF(A26="","",G26+H26),"")</f>
        <v/>
      </c>
      <c r="J26" s="34"/>
    </row>
    <row r="27" customFormat="false" ht="19.5" hidden="false" customHeight="true" outlineLevel="0" collapsed="false">
      <c r="A27" s="51"/>
      <c r="B27" s="52" t="str">
        <f aca="false">IFERROR(VLOOKUP(A27,①従業員マスタ!$A$4:$I$56,2,0),"")</f>
        <v/>
      </c>
      <c r="C27" s="64" t="str">
        <f aca="false">IFERROR(VLOOKUP(A27,①従業員マスタ!$A$4:$I$56,4,0),"")</f>
        <v/>
      </c>
      <c r="D27" s="65" t="str">
        <f aca="false">IFERROR(VLOOKUP(A27,①従業員マスタ!$A$4:$I$56,5,0),"")</f>
        <v/>
      </c>
      <c r="E27" s="61" t="n">
        <f aca="false">IFERROR(SUMPRODUCT((③勤怠記録!$C$4:$C$203=A27)*(ISNUMBER(③勤怠記録!$B$4:$B$203))*(MONTH(③勤怠記録!$B$4:$B$203)=MONTH($B$3))*(YEAR(③勤怠記録!$B$4:$B$203)=YEAR($B$3))*(③勤怠記録!$H$4:$H$203)),0)</f>
        <v>0</v>
      </c>
      <c r="F27" s="61" t="n">
        <f aca="false">IFERROR(SUMPRODUCT((③勤怠記録!$C$4:$C$203=A27)*(ISNUMBER(③勤怠記録!$B$4:$B$203))*(MONTH(③勤怠記録!$B$4:$B$203)=MONTH($B$3))*(YEAR(③勤怠記録!$B$4:$B$203)=YEAR($B$3))*(③勤怠記録!$J$4:$J$203)),0)</f>
        <v>0</v>
      </c>
      <c r="G27" s="65" t="str">
        <f aca="false">IFERROR(IF(A27="","",ROUND(D27*E27,0)),"")</f>
        <v/>
      </c>
      <c r="H27" s="65" t="str">
        <f aca="false">IFERROR(IF(A27="","",ROUND(D27*1.25*F27,0)),"")</f>
        <v/>
      </c>
      <c r="I27" s="66" t="str">
        <f aca="false">IFERROR(IF(A27="","",G27+H27),"")</f>
        <v/>
      </c>
      <c r="J27" s="30"/>
    </row>
    <row r="28" customFormat="false" ht="19.5" hidden="false" customHeight="true" outlineLevel="0" collapsed="false">
      <c r="A28" s="47"/>
      <c r="B28" s="48" t="str">
        <f aca="false">IFERROR(VLOOKUP(A28,①従業員マスタ!$A$4:$I$56,2,0),"")</f>
        <v/>
      </c>
      <c r="C28" s="67" t="str">
        <f aca="false">IFERROR(VLOOKUP(A28,①従業員マスタ!$A$4:$I$56,4,0),"")</f>
        <v/>
      </c>
      <c r="D28" s="68" t="str">
        <f aca="false">IFERROR(VLOOKUP(A28,①従業員マスタ!$A$4:$I$56,5,0),"")</f>
        <v/>
      </c>
      <c r="E28" s="57" t="n">
        <f aca="false">IFERROR(SUMPRODUCT((③勤怠記録!$C$4:$C$203=A28)*(ISNUMBER(③勤怠記録!$B$4:$B$203))*(MONTH(③勤怠記録!$B$4:$B$203)=MONTH($B$3))*(YEAR(③勤怠記録!$B$4:$B$203)=YEAR($B$3))*(③勤怠記録!$H$4:$H$203)),0)</f>
        <v>0</v>
      </c>
      <c r="F28" s="57" t="n">
        <f aca="false">IFERROR(SUMPRODUCT((③勤怠記録!$C$4:$C$203=A28)*(ISNUMBER(③勤怠記録!$B$4:$B$203))*(MONTH(③勤怠記録!$B$4:$B$203)=MONTH($B$3))*(YEAR(③勤怠記録!$B$4:$B$203)=YEAR($B$3))*(③勤怠記録!$J$4:$J$203)),0)</f>
        <v>0</v>
      </c>
      <c r="G28" s="68" t="str">
        <f aca="false">IFERROR(IF(A28="","",ROUND(D28*E28,0)),"")</f>
        <v/>
      </c>
      <c r="H28" s="68" t="str">
        <f aca="false">IFERROR(IF(A28="","",ROUND(D28*1.25*F28,0)),"")</f>
        <v/>
      </c>
      <c r="I28" s="69" t="str">
        <f aca="false">IFERROR(IF(A28="","",G28+H28),"")</f>
        <v/>
      </c>
      <c r="J28" s="34"/>
    </row>
    <row r="29" customFormat="false" ht="19.5" hidden="false" customHeight="true" outlineLevel="0" collapsed="false">
      <c r="A29" s="51"/>
      <c r="B29" s="52" t="str">
        <f aca="false">IFERROR(VLOOKUP(A29,①従業員マスタ!$A$4:$I$56,2,0),"")</f>
        <v/>
      </c>
      <c r="C29" s="64" t="str">
        <f aca="false">IFERROR(VLOOKUP(A29,①従業員マスタ!$A$4:$I$56,4,0),"")</f>
        <v/>
      </c>
      <c r="D29" s="65" t="str">
        <f aca="false">IFERROR(VLOOKUP(A29,①従業員マスタ!$A$4:$I$56,5,0),"")</f>
        <v/>
      </c>
      <c r="E29" s="61" t="n">
        <f aca="false">IFERROR(SUMPRODUCT((③勤怠記録!$C$4:$C$203=A29)*(ISNUMBER(③勤怠記録!$B$4:$B$203))*(MONTH(③勤怠記録!$B$4:$B$203)=MONTH($B$3))*(YEAR(③勤怠記録!$B$4:$B$203)=YEAR($B$3))*(③勤怠記録!$H$4:$H$203)),0)</f>
        <v>0</v>
      </c>
      <c r="F29" s="61" t="n">
        <f aca="false">IFERROR(SUMPRODUCT((③勤怠記録!$C$4:$C$203=A29)*(ISNUMBER(③勤怠記録!$B$4:$B$203))*(MONTH(③勤怠記録!$B$4:$B$203)=MONTH($B$3))*(YEAR(③勤怠記録!$B$4:$B$203)=YEAR($B$3))*(③勤怠記録!$J$4:$J$203)),0)</f>
        <v>0</v>
      </c>
      <c r="G29" s="65" t="str">
        <f aca="false">IFERROR(IF(A29="","",ROUND(D29*E29,0)),"")</f>
        <v/>
      </c>
      <c r="H29" s="65" t="str">
        <f aca="false">IFERROR(IF(A29="","",ROUND(D29*1.25*F29,0)),"")</f>
        <v/>
      </c>
      <c r="I29" s="66" t="str">
        <f aca="false">IFERROR(IF(A29="","",G29+H29),"")</f>
        <v/>
      </c>
      <c r="J29" s="30"/>
    </row>
    <row r="30" customFormat="false" ht="19.5" hidden="false" customHeight="true" outlineLevel="0" collapsed="false">
      <c r="A30" s="47"/>
      <c r="B30" s="48" t="str">
        <f aca="false">IFERROR(VLOOKUP(A30,①従業員マスタ!$A$4:$I$56,2,0),"")</f>
        <v/>
      </c>
      <c r="C30" s="67" t="str">
        <f aca="false">IFERROR(VLOOKUP(A30,①従業員マスタ!$A$4:$I$56,4,0),"")</f>
        <v/>
      </c>
      <c r="D30" s="68" t="str">
        <f aca="false">IFERROR(VLOOKUP(A30,①従業員マスタ!$A$4:$I$56,5,0),"")</f>
        <v/>
      </c>
      <c r="E30" s="57" t="n">
        <f aca="false">IFERROR(SUMPRODUCT((③勤怠記録!$C$4:$C$203=A30)*(ISNUMBER(③勤怠記録!$B$4:$B$203))*(MONTH(③勤怠記録!$B$4:$B$203)=MONTH($B$3))*(YEAR(③勤怠記録!$B$4:$B$203)=YEAR($B$3))*(③勤怠記録!$H$4:$H$203)),0)</f>
        <v>0</v>
      </c>
      <c r="F30" s="57" t="n">
        <f aca="false">IFERROR(SUMPRODUCT((③勤怠記録!$C$4:$C$203=A30)*(ISNUMBER(③勤怠記録!$B$4:$B$203))*(MONTH(③勤怠記録!$B$4:$B$203)=MONTH($B$3))*(YEAR(③勤怠記録!$B$4:$B$203)=YEAR($B$3))*(③勤怠記録!$J$4:$J$203)),0)</f>
        <v>0</v>
      </c>
      <c r="G30" s="68" t="str">
        <f aca="false">IFERROR(IF(A30="","",ROUND(D30*E30,0)),"")</f>
        <v/>
      </c>
      <c r="H30" s="68" t="str">
        <f aca="false">IFERROR(IF(A30="","",ROUND(D30*1.25*F30,0)),"")</f>
        <v/>
      </c>
      <c r="I30" s="69" t="str">
        <f aca="false">IFERROR(IF(A30="","",G30+H30),"")</f>
        <v/>
      </c>
      <c r="J30" s="34"/>
    </row>
    <row r="31" customFormat="false" ht="19.5" hidden="false" customHeight="true" outlineLevel="0" collapsed="false">
      <c r="A31" s="51"/>
      <c r="B31" s="52" t="str">
        <f aca="false">IFERROR(VLOOKUP(A31,①従業員マスタ!$A$4:$I$56,2,0),"")</f>
        <v/>
      </c>
      <c r="C31" s="64" t="str">
        <f aca="false">IFERROR(VLOOKUP(A31,①従業員マスタ!$A$4:$I$56,4,0),"")</f>
        <v/>
      </c>
      <c r="D31" s="65" t="str">
        <f aca="false">IFERROR(VLOOKUP(A31,①従業員マスタ!$A$4:$I$56,5,0),"")</f>
        <v/>
      </c>
      <c r="E31" s="61" t="n">
        <f aca="false">IFERROR(SUMPRODUCT((③勤怠記録!$C$4:$C$203=A31)*(ISNUMBER(③勤怠記録!$B$4:$B$203))*(MONTH(③勤怠記録!$B$4:$B$203)=MONTH($B$3))*(YEAR(③勤怠記録!$B$4:$B$203)=YEAR($B$3))*(③勤怠記録!$H$4:$H$203)),0)</f>
        <v>0</v>
      </c>
      <c r="F31" s="61" t="n">
        <f aca="false">IFERROR(SUMPRODUCT((③勤怠記録!$C$4:$C$203=A31)*(ISNUMBER(③勤怠記録!$B$4:$B$203))*(MONTH(③勤怠記録!$B$4:$B$203)=MONTH($B$3))*(YEAR(③勤怠記録!$B$4:$B$203)=YEAR($B$3))*(③勤怠記録!$J$4:$J$203)),0)</f>
        <v>0</v>
      </c>
      <c r="G31" s="65" t="str">
        <f aca="false">IFERROR(IF(A31="","",ROUND(D31*E31,0)),"")</f>
        <v/>
      </c>
      <c r="H31" s="65" t="str">
        <f aca="false">IFERROR(IF(A31="","",ROUND(D31*1.25*F31,0)),"")</f>
        <v/>
      </c>
      <c r="I31" s="66" t="str">
        <f aca="false">IFERROR(IF(A31="","",G31+H31),"")</f>
        <v/>
      </c>
      <c r="J31" s="30"/>
    </row>
    <row r="32" customFormat="false" ht="19.5" hidden="false" customHeight="true" outlineLevel="0" collapsed="false">
      <c r="A32" s="47"/>
      <c r="B32" s="48" t="str">
        <f aca="false">IFERROR(VLOOKUP(A32,①従業員マスタ!$A$4:$I$56,2,0),"")</f>
        <v/>
      </c>
      <c r="C32" s="67" t="str">
        <f aca="false">IFERROR(VLOOKUP(A32,①従業員マスタ!$A$4:$I$56,4,0),"")</f>
        <v/>
      </c>
      <c r="D32" s="68" t="str">
        <f aca="false">IFERROR(VLOOKUP(A32,①従業員マスタ!$A$4:$I$56,5,0),"")</f>
        <v/>
      </c>
      <c r="E32" s="57" t="n">
        <f aca="false">IFERROR(SUMPRODUCT((③勤怠記録!$C$4:$C$203=A32)*(ISNUMBER(③勤怠記録!$B$4:$B$203))*(MONTH(③勤怠記録!$B$4:$B$203)=MONTH($B$3))*(YEAR(③勤怠記録!$B$4:$B$203)=YEAR($B$3))*(③勤怠記録!$H$4:$H$203)),0)</f>
        <v>0</v>
      </c>
      <c r="F32" s="57" t="n">
        <f aca="false">IFERROR(SUMPRODUCT((③勤怠記録!$C$4:$C$203=A32)*(ISNUMBER(③勤怠記録!$B$4:$B$203))*(MONTH(③勤怠記録!$B$4:$B$203)=MONTH($B$3))*(YEAR(③勤怠記録!$B$4:$B$203)=YEAR($B$3))*(③勤怠記録!$J$4:$J$203)),0)</f>
        <v>0</v>
      </c>
      <c r="G32" s="68" t="str">
        <f aca="false">IFERROR(IF(A32="","",ROUND(D32*E32,0)),"")</f>
        <v/>
      </c>
      <c r="H32" s="68" t="str">
        <f aca="false">IFERROR(IF(A32="","",ROUND(D32*1.25*F32,0)),"")</f>
        <v/>
      </c>
      <c r="I32" s="69" t="str">
        <f aca="false">IFERROR(IF(A32="","",G32+H32),"")</f>
        <v/>
      </c>
      <c r="J32" s="34"/>
    </row>
    <row r="33" customFormat="false" ht="19.5" hidden="false" customHeight="true" outlineLevel="0" collapsed="false">
      <c r="A33" s="51"/>
      <c r="B33" s="52" t="str">
        <f aca="false">IFERROR(VLOOKUP(A33,①従業員マスタ!$A$4:$I$56,2,0),"")</f>
        <v/>
      </c>
      <c r="C33" s="64" t="str">
        <f aca="false">IFERROR(VLOOKUP(A33,①従業員マスタ!$A$4:$I$56,4,0),"")</f>
        <v/>
      </c>
      <c r="D33" s="65" t="str">
        <f aca="false">IFERROR(VLOOKUP(A33,①従業員マスタ!$A$4:$I$56,5,0),"")</f>
        <v/>
      </c>
      <c r="E33" s="61" t="n">
        <f aca="false">IFERROR(SUMPRODUCT((③勤怠記録!$C$4:$C$203=A33)*(ISNUMBER(③勤怠記録!$B$4:$B$203))*(MONTH(③勤怠記録!$B$4:$B$203)=MONTH($B$3))*(YEAR(③勤怠記録!$B$4:$B$203)=YEAR($B$3))*(③勤怠記録!$H$4:$H$203)),0)</f>
        <v>0</v>
      </c>
      <c r="F33" s="61" t="n">
        <f aca="false">IFERROR(SUMPRODUCT((③勤怠記録!$C$4:$C$203=A33)*(ISNUMBER(③勤怠記録!$B$4:$B$203))*(MONTH(③勤怠記録!$B$4:$B$203)=MONTH($B$3))*(YEAR(③勤怠記録!$B$4:$B$203)=YEAR($B$3))*(③勤怠記録!$J$4:$J$203)),0)</f>
        <v>0</v>
      </c>
      <c r="G33" s="65" t="str">
        <f aca="false">IFERROR(IF(A33="","",ROUND(D33*E33,0)),"")</f>
        <v/>
      </c>
      <c r="H33" s="65" t="str">
        <f aca="false">IFERROR(IF(A33="","",ROUND(D33*1.25*F33,0)),"")</f>
        <v/>
      </c>
      <c r="I33" s="66" t="str">
        <f aca="false">IFERROR(IF(A33="","",G33+H33),"")</f>
        <v/>
      </c>
      <c r="J33" s="30"/>
    </row>
    <row r="34" customFormat="false" ht="19.5" hidden="false" customHeight="true" outlineLevel="0" collapsed="false">
      <c r="A34" s="47"/>
      <c r="B34" s="48" t="str">
        <f aca="false">IFERROR(VLOOKUP(A34,①従業員マスタ!$A$4:$I$56,2,0),"")</f>
        <v/>
      </c>
      <c r="C34" s="67" t="str">
        <f aca="false">IFERROR(VLOOKUP(A34,①従業員マスタ!$A$4:$I$56,4,0),"")</f>
        <v/>
      </c>
      <c r="D34" s="68" t="str">
        <f aca="false">IFERROR(VLOOKUP(A34,①従業員マスタ!$A$4:$I$56,5,0),"")</f>
        <v/>
      </c>
      <c r="E34" s="57" t="n">
        <f aca="false">IFERROR(SUMPRODUCT((③勤怠記録!$C$4:$C$203=A34)*(ISNUMBER(③勤怠記録!$B$4:$B$203))*(MONTH(③勤怠記録!$B$4:$B$203)=MONTH($B$3))*(YEAR(③勤怠記録!$B$4:$B$203)=YEAR($B$3))*(③勤怠記録!$H$4:$H$203)),0)</f>
        <v>0</v>
      </c>
      <c r="F34" s="57" t="n">
        <f aca="false">IFERROR(SUMPRODUCT((③勤怠記録!$C$4:$C$203=A34)*(ISNUMBER(③勤怠記録!$B$4:$B$203))*(MONTH(③勤怠記録!$B$4:$B$203)=MONTH($B$3))*(YEAR(③勤怠記録!$B$4:$B$203)=YEAR($B$3))*(③勤怠記録!$J$4:$J$203)),0)</f>
        <v>0</v>
      </c>
      <c r="G34" s="68" t="str">
        <f aca="false">IFERROR(IF(A34="","",ROUND(D34*E34,0)),"")</f>
        <v/>
      </c>
      <c r="H34" s="68" t="str">
        <f aca="false">IFERROR(IF(A34="","",ROUND(D34*1.25*F34,0)),"")</f>
        <v/>
      </c>
      <c r="I34" s="69" t="str">
        <f aca="false">IFERROR(IF(A34="","",G34+H34),"")</f>
        <v/>
      </c>
      <c r="J34" s="34"/>
    </row>
    <row r="35" customFormat="false" ht="19.5" hidden="false" customHeight="true" outlineLevel="0" collapsed="false">
      <c r="A35" s="51"/>
      <c r="B35" s="52" t="str">
        <f aca="false">IFERROR(VLOOKUP(A35,①従業員マスタ!$A$4:$I$56,2,0),"")</f>
        <v/>
      </c>
      <c r="C35" s="64" t="str">
        <f aca="false">IFERROR(VLOOKUP(A35,①従業員マスタ!$A$4:$I$56,4,0),"")</f>
        <v/>
      </c>
      <c r="D35" s="65" t="str">
        <f aca="false">IFERROR(VLOOKUP(A35,①従業員マスタ!$A$4:$I$56,5,0),"")</f>
        <v/>
      </c>
      <c r="E35" s="61" t="n">
        <f aca="false">IFERROR(SUMPRODUCT((③勤怠記録!$C$4:$C$203=A35)*(ISNUMBER(③勤怠記録!$B$4:$B$203))*(MONTH(③勤怠記録!$B$4:$B$203)=MONTH($B$3))*(YEAR(③勤怠記録!$B$4:$B$203)=YEAR($B$3))*(③勤怠記録!$H$4:$H$203)),0)</f>
        <v>0</v>
      </c>
      <c r="F35" s="61" t="n">
        <f aca="false">IFERROR(SUMPRODUCT((③勤怠記録!$C$4:$C$203=A35)*(ISNUMBER(③勤怠記録!$B$4:$B$203))*(MONTH(③勤怠記録!$B$4:$B$203)=MONTH($B$3))*(YEAR(③勤怠記録!$B$4:$B$203)=YEAR($B$3))*(③勤怠記録!$J$4:$J$203)),0)</f>
        <v>0</v>
      </c>
      <c r="G35" s="65" t="str">
        <f aca="false">IFERROR(IF(A35="","",ROUND(D35*E35,0)),"")</f>
        <v/>
      </c>
      <c r="H35" s="65" t="str">
        <f aca="false">IFERROR(IF(A35="","",ROUND(D35*1.25*F35,0)),"")</f>
        <v/>
      </c>
      <c r="I35" s="66" t="str">
        <f aca="false">IFERROR(IF(A35="","",G35+H35),"")</f>
        <v/>
      </c>
      <c r="J35" s="30"/>
    </row>
    <row r="36" customFormat="false" ht="19.5" hidden="false" customHeight="true" outlineLevel="0" collapsed="false">
      <c r="A36" s="47"/>
      <c r="B36" s="48" t="str">
        <f aca="false">IFERROR(VLOOKUP(A36,①従業員マスタ!$A$4:$I$56,2,0),"")</f>
        <v/>
      </c>
      <c r="C36" s="67" t="str">
        <f aca="false">IFERROR(VLOOKUP(A36,①従業員マスタ!$A$4:$I$56,4,0),"")</f>
        <v/>
      </c>
      <c r="D36" s="68" t="str">
        <f aca="false">IFERROR(VLOOKUP(A36,①従業員マスタ!$A$4:$I$56,5,0),"")</f>
        <v/>
      </c>
      <c r="E36" s="57" t="n">
        <f aca="false">IFERROR(SUMPRODUCT((③勤怠記録!$C$4:$C$203=A36)*(ISNUMBER(③勤怠記録!$B$4:$B$203))*(MONTH(③勤怠記録!$B$4:$B$203)=MONTH($B$3))*(YEAR(③勤怠記録!$B$4:$B$203)=YEAR($B$3))*(③勤怠記録!$H$4:$H$203)),0)</f>
        <v>0</v>
      </c>
      <c r="F36" s="57" t="n">
        <f aca="false">IFERROR(SUMPRODUCT((③勤怠記録!$C$4:$C$203=A36)*(ISNUMBER(③勤怠記録!$B$4:$B$203))*(MONTH(③勤怠記録!$B$4:$B$203)=MONTH($B$3))*(YEAR(③勤怠記録!$B$4:$B$203)=YEAR($B$3))*(③勤怠記録!$J$4:$J$203)),0)</f>
        <v>0</v>
      </c>
      <c r="G36" s="68" t="str">
        <f aca="false">IFERROR(IF(A36="","",ROUND(D36*E36,0)),"")</f>
        <v/>
      </c>
      <c r="H36" s="68" t="str">
        <f aca="false">IFERROR(IF(A36="","",ROUND(D36*1.25*F36,0)),"")</f>
        <v/>
      </c>
      <c r="I36" s="69" t="str">
        <f aca="false">IFERROR(IF(A36="","",G36+H36),"")</f>
        <v/>
      </c>
      <c r="J36" s="34"/>
    </row>
    <row r="37" customFormat="false" ht="19.5" hidden="false" customHeight="true" outlineLevel="0" collapsed="false">
      <c r="A37" s="51"/>
      <c r="B37" s="52" t="str">
        <f aca="false">IFERROR(VLOOKUP(A37,①従業員マスタ!$A$4:$I$56,2,0),"")</f>
        <v/>
      </c>
      <c r="C37" s="64" t="str">
        <f aca="false">IFERROR(VLOOKUP(A37,①従業員マスタ!$A$4:$I$56,4,0),"")</f>
        <v/>
      </c>
      <c r="D37" s="65" t="str">
        <f aca="false">IFERROR(VLOOKUP(A37,①従業員マスタ!$A$4:$I$56,5,0),"")</f>
        <v/>
      </c>
      <c r="E37" s="61" t="n">
        <f aca="false">IFERROR(SUMPRODUCT((③勤怠記録!$C$4:$C$203=A37)*(ISNUMBER(③勤怠記録!$B$4:$B$203))*(MONTH(③勤怠記録!$B$4:$B$203)=MONTH($B$3))*(YEAR(③勤怠記録!$B$4:$B$203)=YEAR($B$3))*(③勤怠記録!$H$4:$H$203)),0)</f>
        <v>0</v>
      </c>
      <c r="F37" s="61" t="n">
        <f aca="false">IFERROR(SUMPRODUCT((③勤怠記録!$C$4:$C$203=A37)*(ISNUMBER(③勤怠記録!$B$4:$B$203))*(MONTH(③勤怠記録!$B$4:$B$203)=MONTH($B$3))*(YEAR(③勤怠記録!$B$4:$B$203)=YEAR($B$3))*(③勤怠記録!$J$4:$J$203)),0)</f>
        <v>0</v>
      </c>
      <c r="G37" s="65" t="str">
        <f aca="false">IFERROR(IF(A37="","",ROUND(D37*E37,0)),"")</f>
        <v/>
      </c>
      <c r="H37" s="65" t="str">
        <f aca="false">IFERROR(IF(A37="","",ROUND(D37*1.25*F37,0)),"")</f>
        <v/>
      </c>
      <c r="I37" s="66" t="str">
        <f aca="false">IFERROR(IF(A37="","",G37+H37),"")</f>
        <v/>
      </c>
      <c r="J37" s="30"/>
    </row>
    <row r="38" customFormat="false" ht="19.5" hidden="false" customHeight="true" outlineLevel="0" collapsed="false">
      <c r="A38" s="47"/>
      <c r="B38" s="48" t="str">
        <f aca="false">IFERROR(VLOOKUP(A38,①従業員マスタ!$A$4:$I$56,2,0),"")</f>
        <v/>
      </c>
      <c r="C38" s="67" t="str">
        <f aca="false">IFERROR(VLOOKUP(A38,①従業員マスタ!$A$4:$I$56,4,0),"")</f>
        <v/>
      </c>
      <c r="D38" s="68" t="str">
        <f aca="false">IFERROR(VLOOKUP(A38,①従業員マスタ!$A$4:$I$56,5,0),"")</f>
        <v/>
      </c>
      <c r="E38" s="57" t="n">
        <f aca="false">IFERROR(SUMPRODUCT((③勤怠記録!$C$4:$C$203=A38)*(ISNUMBER(③勤怠記録!$B$4:$B$203))*(MONTH(③勤怠記録!$B$4:$B$203)=MONTH($B$3))*(YEAR(③勤怠記録!$B$4:$B$203)=YEAR($B$3))*(③勤怠記録!$H$4:$H$203)),0)</f>
        <v>0</v>
      </c>
      <c r="F38" s="57" t="n">
        <f aca="false">IFERROR(SUMPRODUCT((③勤怠記録!$C$4:$C$203=A38)*(ISNUMBER(③勤怠記録!$B$4:$B$203))*(MONTH(③勤怠記録!$B$4:$B$203)=MONTH($B$3))*(YEAR(③勤怠記録!$B$4:$B$203)=YEAR($B$3))*(③勤怠記録!$J$4:$J$203)),0)</f>
        <v>0</v>
      </c>
      <c r="G38" s="68" t="str">
        <f aca="false">IFERROR(IF(A38="","",ROUND(D38*E38,0)),"")</f>
        <v/>
      </c>
      <c r="H38" s="68" t="str">
        <f aca="false">IFERROR(IF(A38="","",ROUND(D38*1.25*F38,0)),"")</f>
        <v/>
      </c>
      <c r="I38" s="69" t="str">
        <f aca="false">IFERROR(IF(A38="","",G38+H38),"")</f>
        <v/>
      </c>
      <c r="J38" s="34"/>
    </row>
    <row r="39" customFormat="false" ht="19.5" hidden="false" customHeight="true" outlineLevel="0" collapsed="false">
      <c r="A39" s="51"/>
      <c r="B39" s="52" t="str">
        <f aca="false">IFERROR(VLOOKUP(A39,①従業員マスタ!$A$4:$I$56,2,0),"")</f>
        <v/>
      </c>
      <c r="C39" s="64" t="str">
        <f aca="false">IFERROR(VLOOKUP(A39,①従業員マスタ!$A$4:$I$56,4,0),"")</f>
        <v/>
      </c>
      <c r="D39" s="65" t="str">
        <f aca="false">IFERROR(VLOOKUP(A39,①従業員マスタ!$A$4:$I$56,5,0),"")</f>
        <v/>
      </c>
      <c r="E39" s="61" t="n">
        <f aca="false">IFERROR(SUMPRODUCT((③勤怠記録!$C$4:$C$203=A39)*(ISNUMBER(③勤怠記録!$B$4:$B$203))*(MONTH(③勤怠記録!$B$4:$B$203)=MONTH($B$3))*(YEAR(③勤怠記録!$B$4:$B$203)=YEAR($B$3))*(③勤怠記録!$H$4:$H$203)),0)</f>
        <v>0</v>
      </c>
      <c r="F39" s="61" t="n">
        <f aca="false">IFERROR(SUMPRODUCT((③勤怠記録!$C$4:$C$203=A39)*(ISNUMBER(③勤怠記録!$B$4:$B$203))*(MONTH(③勤怠記録!$B$4:$B$203)=MONTH($B$3))*(YEAR(③勤怠記録!$B$4:$B$203)=YEAR($B$3))*(③勤怠記録!$J$4:$J$203)),0)</f>
        <v>0</v>
      </c>
      <c r="G39" s="65" t="str">
        <f aca="false">IFERROR(IF(A39="","",ROUND(D39*E39,0)),"")</f>
        <v/>
      </c>
      <c r="H39" s="65" t="str">
        <f aca="false">IFERROR(IF(A39="","",ROUND(D39*1.25*F39,0)),"")</f>
        <v/>
      </c>
      <c r="I39" s="66" t="str">
        <f aca="false">IFERROR(IF(A39="","",G39+H39),"")</f>
        <v/>
      </c>
      <c r="J39" s="30"/>
    </row>
    <row r="40" customFormat="false" ht="19.5" hidden="false" customHeight="true" outlineLevel="0" collapsed="false">
      <c r="A40" s="47"/>
      <c r="B40" s="48" t="str">
        <f aca="false">IFERROR(VLOOKUP(A40,①従業員マスタ!$A$4:$I$56,2,0),"")</f>
        <v/>
      </c>
      <c r="C40" s="67" t="str">
        <f aca="false">IFERROR(VLOOKUP(A40,①従業員マスタ!$A$4:$I$56,4,0),"")</f>
        <v/>
      </c>
      <c r="D40" s="68" t="str">
        <f aca="false">IFERROR(VLOOKUP(A40,①従業員マスタ!$A$4:$I$56,5,0),"")</f>
        <v/>
      </c>
      <c r="E40" s="57" t="n">
        <f aca="false">IFERROR(SUMPRODUCT((③勤怠記録!$C$4:$C$203=A40)*(ISNUMBER(③勤怠記録!$B$4:$B$203))*(MONTH(③勤怠記録!$B$4:$B$203)=MONTH($B$3))*(YEAR(③勤怠記録!$B$4:$B$203)=YEAR($B$3))*(③勤怠記録!$H$4:$H$203)),0)</f>
        <v>0</v>
      </c>
      <c r="F40" s="57" t="n">
        <f aca="false">IFERROR(SUMPRODUCT((③勤怠記録!$C$4:$C$203=A40)*(ISNUMBER(③勤怠記録!$B$4:$B$203))*(MONTH(③勤怠記録!$B$4:$B$203)=MONTH($B$3))*(YEAR(③勤怠記録!$B$4:$B$203)=YEAR($B$3))*(③勤怠記録!$J$4:$J$203)),0)</f>
        <v>0</v>
      </c>
      <c r="G40" s="68" t="str">
        <f aca="false">IFERROR(IF(A40="","",ROUND(D40*E40,0)),"")</f>
        <v/>
      </c>
      <c r="H40" s="68" t="str">
        <f aca="false">IFERROR(IF(A40="","",ROUND(D40*1.25*F40,0)),"")</f>
        <v/>
      </c>
      <c r="I40" s="69" t="str">
        <f aca="false">IFERROR(IF(A40="","",G40+H40),"")</f>
        <v/>
      </c>
      <c r="J40" s="34"/>
    </row>
    <row r="41" customFormat="false" ht="19.5" hidden="false" customHeight="true" outlineLevel="0" collapsed="false">
      <c r="A41" s="51"/>
      <c r="B41" s="52" t="str">
        <f aca="false">IFERROR(VLOOKUP(A41,①従業員マスタ!$A$4:$I$56,2,0),"")</f>
        <v/>
      </c>
      <c r="C41" s="64" t="str">
        <f aca="false">IFERROR(VLOOKUP(A41,①従業員マスタ!$A$4:$I$56,4,0),"")</f>
        <v/>
      </c>
      <c r="D41" s="65" t="str">
        <f aca="false">IFERROR(VLOOKUP(A41,①従業員マスタ!$A$4:$I$56,5,0),"")</f>
        <v/>
      </c>
      <c r="E41" s="61" t="n">
        <f aca="false">IFERROR(SUMPRODUCT((③勤怠記録!$C$4:$C$203=A41)*(ISNUMBER(③勤怠記録!$B$4:$B$203))*(MONTH(③勤怠記録!$B$4:$B$203)=MONTH($B$3))*(YEAR(③勤怠記録!$B$4:$B$203)=YEAR($B$3))*(③勤怠記録!$H$4:$H$203)),0)</f>
        <v>0</v>
      </c>
      <c r="F41" s="61" t="n">
        <f aca="false">IFERROR(SUMPRODUCT((③勤怠記録!$C$4:$C$203=A41)*(ISNUMBER(③勤怠記録!$B$4:$B$203))*(MONTH(③勤怠記録!$B$4:$B$203)=MONTH($B$3))*(YEAR(③勤怠記録!$B$4:$B$203)=YEAR($B$3))*(③勤怠記録!$J$4:$J$203)),0)</f>
        <v>0</v>
      </c>
      <c r="G41" s="65" t="str">
        <f aca="false">IFERROR(IF(A41="","",ROUND(D41*E41,0)),"")</f>
        <v/>
      </c>
      <c r="H41" s="65" t="str">
        <f aca="false">IFERROR(IF(A41="","",ROUND(D41*1.25*F41,0)),"")</f>
        <v/>
      </c>
      <c r="I41" s="66" t="str">
        <f aca="false">IFERROR(IF(A41="","",G41+H41),"")</f>
        <v/>
      </c>
      <c r="J41" s="30"/>
    </row>
    <row r="42" customFormat="false" ht="19.5" hidden="false" customHeight="true" outlineLevel="0" collapsed="false">
      <c r="A42" s="47"/>
      <c r="B42" s="48" t="str">
        <f aca="false">IFERROR(VLOOKUP(A42,①従業員マスタ!$A$4:$I$56,2,0),"")</f>
        <v/>
      </c>
      <c r="C42" s="67" t="str">
        <f aca="false">IFERROR(VLOOKUP(A42,①従業員マスタ!$A$4:$I$56,4,0),"")</f>
        <v/>
      </c>
      <c r="D42" s="68" t="str">
        <f aca="false">IFERROR(VLOOKUP(A42,①従業員マスタ!$A$4:$I$56,5,0),"")</f>
        <v/>
      </c>
      <c r="E42" s="57" t="n">
        <f aca="false">IFERROR(SUMPRODUCT((③勤怠記録!$C$4:$C$203=A42)*(ISNUMBER(③勤怠記録!$B$4:$B$203))*(MONTH(③勤怠記録!$B$4:$B$203)=MONTH($B$3))*(YEAR(③勤怠記録!$B$4:$B$203)=YEAR($B$3))*(③勤怠記録!$H$4:$H$203)),0)</f>
        <v>0</v>
      </c>
      <c r="F42" s="57" t="n">
        <f aca="false">IFERROR(SUMPRODUCT((③勤怠記録!$C$4:$C$203=A42)*(ISNUMBER(③勤怠記録!$B$4:$B$203))*(MONTH(③勤怠記録!$B$4:$B$203)=MONTH($B$3))*(YEAR(③勤怠記録!$B$4:$B$203)=YEAR($B$3))*(③勤怠記録!$J$4:$J$203)),0)</f>
        <v>0</v>
      </c>
      <c r="G42" s="68" t="str">
        <f aca="false">IFERROR(IF(A42="","",ROUND(D42*E42,0)),"")</f>
        <v/>
      </c>
      <c r="H42" s="68" t="str">
        <f aca="false">IFERROR(IF(A42="","",ROUND(D42*1.25*F42,0)),"")</f>
        <v/>
      </c>
      <c r="I42" s="69" t="str">
        <f aca="false">IFERROR(IF(A42="","",G42+H42),"")</f>
        <v/>
      </c>
      <c r="J42" s="34"/>
    </row>
    <row r="43" customFormat="false" ht="19.5" hidden="false" customHeight="true" outlineLevel="0" collapsed="false">
      <c r="A43" s="51"/>
      <c r="B43" s="52" t="str">
        <f aca="false">IFERROR(VLOOKUP(A43,①従業員マスタ!$A$4:$I$56,2,0),"")</f>
        <v/>
      </c>
      <c r="C43" s="64" t="str">
        <f aca="false">IFERROR(VLOOKUP(A43,①従業員マスタ!$A$4:$I$56,4,0),"")</f>
        <v/>
      </c>
      <c r="D43" s="65" t="str">
        <f aca="false">IFERROR(VLOOKUP(A43,①従業員マスタ!$A$4:$I$56,5,0),"")</f>
        <v/>
      </c>
      <c r="E43" s="61" t="n">
        <f aca="false">IFERROR(SUMPRODUCT((③勤怠記録!$C$4:$C$203=A43)*(ISNUMBER(③勤怠記録!$B$4:$B$203))*(MONTH(③勤怠記録!$B$4:$B$203)=MONTH($B$3))*(YEAR(③勤怠記録!$B$4:$B$203)=YEAR($B$3))*(③勤怠記録!$H$4:$H$203)),0)</f>
        <v>0</v>
      </c>
      <c r="F43" s="61" t="n">
        <f aca="false">IFERROR(SUMPRODUCT((③勤怠記録!$C$4:$C$203=A43)*(ISNUMBER(③勤怠記録!$B$4:$B$203))*(MONTH(③勤怠記録!$B$4:$B$203)=MONTH($B$3))*(YEAR(③勤怠記録!$B$4:$B$203)=YEAR($B$3))*(③勤怠記録!$J$4:$J$203)),0)</f>
        <v>0</v>
      </c>
      <c r="G43" s="65" t="str">
        <f aca="false">IFERROR(IF(A43="","",ROUND(D43*E43,0)),"")</f>
        <v/>
      </c>
      <c r="H43" s="65" t="str">
        <f aca="false">IFERROR(IF(A43="","",ROUND(D43*1.25*F43,0)),"")</f>
        <v/>
      </c>
      <c r="I43" s="66" t="str">
        <f aca="false">IFERROR(IF(A43="","",G43+H43),"")</f>
        <v/>
      </c>
      <c r="J43" s="30"/>
    </row>
    <row r="44" customFormat="false" ht="19.5" hidden="false" customHeight="true" outlineLevel="0" collapsed="false">
      <c r="A44" s="47"/>
      <c r="B44" s="48" t="str">
        <f aca="false">IFERROR(VLOOKUP(A44,①従業員マスタ!$A$4:$I$56,2,0),"")</f>
        <v/>
      </c>
      <c r="C44" s="67" t="str">
        <f aca="false">IFERROR(VLOOKUP(A44,①従業員マスタ!$A$4:$I$56,4,0),"")</f>
        <v/>
      </c>
      <c r="D44" s="68" t="str">
        <f aca="false">IFERROR(VLOOKUP(A44,①従業員マスタ!$A$4:$I$56,5,0),"")</f>
        <v/>
      </c>
      <c r="E44" s="57" t="n">
        <f aca="false">IFERROR(SUMPRODUCT((③勤怠記録!$C$4:$C$203=A44)*(ISNUMBER(③勤怠記録!$B$4:$B$203))*(MONTH(③勤怠記録!$B$4:$B$203)=MONTH($B$3))*(YEAR(③勤怠記録!$B$4:$B$203)=YEAR($B$3))*(③勤怠記録!$H$4:$H$203)),0)</f>
        <v>0</v>
      </c>
      <c r="F44" s="57" t="n">
        <f aca="false">IFERROR(SUMPRODUCT((③勤怠記録!$C$4:$C$203=A44)*(ISNUMBER(③勤怠記録!$B$4:$B$203))*(MONTH(③勤怠記録!$B$4:$B$203)=MONTH($B$3))*(YEAR(③勤怠記録!$B$4:$B$203)=YEAR($B$3))*(③勤怠記録!$J$4:$J$203)),0)</f>
        <v>0</v>
      </c>
      <c r="G44" s="68" t="str">
        <f aca="false">IFERROR(IF(A44="","",ROUND(D44*E44,0)),"")</f>
        <v/>
      </c>
      <c r="H44" s="68" t="str">
        <f aca="false">IFERROR(IF(A44="","",ROUND(D44*1.25*F44,0)),"")</f>
        <v/>
      </c>
      <c r="I44" s="69" t="str">
        <f aca="false">IFERROR(IF(A44="","",G44+H44),"")</f>
        <v/>
      </c>
      <c r="J44" s="34"/>
    </row>
    <row r="45" customFormat="false" ht="19.5" hidden="false" customHeight="true" outlineLevel="0" collapsed="false">
      <c r="A45" s="51"/>
      <c r="B45" s="52" t="str">
        <f aca="false">IFERROR(VLOOKUP(A45,①従業員マスタ!$A$4:$I$56,2,0),"")</f>
        <v/>
      </c>
      <c r="C45" s="64" t="str">
        <f aca="false">IFERROR(VLOOKUP(A45,①従業員マスタ!$A$4:$I$56,4,0),"")</f>
        <v/>
      </c>
      <c r="D45" s="65" t="str">
        <f aca="false">IFERROR(VLOOKUP(A45,①従業員マスタ!$A$4:$I$56,5,0),"")</f>
        <v/>
      </c>
      <c r="E45" s="61" t="n">
        <f aca="false">IFERROR(SUMPRODUCT((③勤怠記録!$C$4:$C$203=A45)*(ISNUMBER(③勤怠記録!$B$4:$B$203))*(MONTH(③勤怠記録!$B$4:$B$203)=MONTH($B$3))*(YEAR(③勤怠記録!$B$4:$B$203)=YEAR($B$3))*(③勤怠記録!$H$4:$H$203)),0)</f>
        <v>0</v>
      </c>
      <c r="F45" s="61" t="n">
        <f aca="false">IFERROR(SUMPRODUCT((③勤怠記録!$C$4:$C$203=A45)*(ISNUMBER(③勤怠記録!$B$4:$B$203))*(MONTH(③勤怠記録!$B$4:$B$203)=MONTH($B$3))*(YEAR(③勤怠記録!$B$4:$B$203)=YEAR($B$3))*(③勤怠記録!$J$4:$J$203)),0)</f>
        <v>0</v>
      </c>
      <c r="G45" s="65" t="str">
        <f aca="false">IFERROR(IF(A45="","",ROUND(D45*E45,0)),"")</f>
        <v/>
      </c>
      <c r="H45" s="65" t="str">
        <f aca="false">IFERROR(IF(A45="","",ROUND(D45*1.25*F45,0)),"")</f>
        <v/>
      </c>
      <c r="I45" s="66" t="str">
        <f aca="false">IFERROR(IF(A45="","",G45+H45),"")</f>
        <v/>
      </c>
      <c r="J45" s="30"/>
    </row>
    <row r="46" customFormat="false" ht="19.5" hidden="false" customHeight="true" outlineLevel="0" collapsed="false">
      <c r="A46" s="47"/>
      <c r="B46" s="48" t="str">
        <f aca="false">IFERROR(VLOOKUP(A46,①従業員マスタ!$A$4:$I$56,2,0),"")</f>
        <v/>
      </c>
      <c r="C46" s="67" t="str">
        <f aca="false">IFERROR(VLOOKUP(A46,①従業員マスタ!$A$4:$I$56,4,0),"")</f>
        <v/>
      </c>
      <c r="D46" s="68" t="str">
        <f aca="false">IFERROR(VLOOKUP(A46,①従業員マスタ!$A$4:$I$56,5,0),"")</f>
        <v/>
      </c>
      <c r="E46" s="57" t="n">
        <f aca="false">IFERROR(SUMPRODUCT((③勤怠記録!$C$4:$C$203=A46)*(ISNUMBER(③勤怠記録!$B$4:$B$203))*(MONTH(③勤怠記録!$B$4:$B$203)=MONTH($B$3))*(YEAR(③勤怠記録!$B$4:$B$203)=YEAR($B$3))*(③勤怠記録!$H$4:$H$203)),0)</f>
        <v>0</v>
      </c>
      <c r="F46" s="57" t="n">
        <f aca="false">IFERROR(SUMPRODUCT((③勤怠記録!$C$4:$C$203=A46)*(ISNUMBER(③勤怠記録!$B$4:$B$203))*(MONTH(③勤怠記録!$B$4:$B$203)=MONTH($B$3))*(YEAR(③勤怠記録!$B$4:$B$203)=YEAR($B$3))*(③勤怠記録!$J$4:$J$203)),0)</f>
        <v>0</v>
      </c>
      <c r="G46" s="68" t="str">
        <f aca="false">IFERROR(IF(A46="","",ROUND(D46*E46,0)),"")</f>
        <v/>
      </c>
      <c r="H46" s="68" t="str">
        <f aca="false">IFERROR(IF(A46="","",ROUND(D46*1.25*F46,0)),"")</f>
        <v/>
      </c>
      <c r="I46" s="69" t="str">
        <f aca="false">IFERROR(IF(A46="","",G46+H46),"")</f>
        <v/>
      </c>
      <c r="J46" s="34"/>
    </row>
    <row r="47" customFormat="false" ht="19.5" hidden="false" customHeight="true" outlineLevel="0" collapsed="false">
      <c r="A47" s="51"/>
      <c r="B47" s="52" t="str">
        <f aca="false">IFERROR(VLOOKUP(A47,①従業員マスタ!$A$4:$I$56,2,0),"")</f>
        <v/>
      </c>
      <c r="C47" s="64" t="str">
        <f aca="false">IFERROR(VLOOKUP(A47,①従業員マスタ!$A$4:$I$56,4,0),"")</f>
        <v/>
      </c>
      <c r="D47" s="65" t="str">
        <f aca="false">IFERROR(VLOOKUP(A47,①従業員マスタ!$A$4:$I$56,5,0),"")</f>
        <v/>
      </c>
      <c r="E47" s="61" t="n">
        <f aca="false">IFERROR(SUMPRODUCT((③勤怠記録!$C$4:$C$203=A47)*(ISNUMBER(③勤怠記録!$B$4:$B$203))*(MONTH(③勤怠記録!$B$4:$B$203)=MONTH($B$3))*(YEAR(③勤怠記録!$B$4:$B$203)=YEAR($B$3))*(③勤怠記録!$H$4:$H$203)),0)</f>
        <v>0</v>
      </c>
      <c r="F47" s="61" t="n">
        <f aca="false">IFERROR(SUMPRODUCT((③勤怠記録!$C$4:$C$203=A47)*(ISNUMBER(③勤怠記録!$B$4:$B$203))*(MONTH(③勤怠記録!$B$4:$B$203)=MONTH($B$3))*(YEAR(③勤怠記録!$B$4:$B$203)=YEAR($B$3))*(③勤怠記録!$J$4:$J$203)),0)</f>
        <v>0</v>
      </c>
      <c r="G47" s="65" t="str">
        <f aca="false">IFERROR(IF(A47="","",ROUND(D47*E47,0)),"")</f>
        <v/>
      </c>
      <c r="H47" s="65" t="str">
        <f aca="false">IFERROR(IF(A47="","",ROUND(D47*1.25*F47,0)),"")</f>
        <v/>
      </c>
      <c r="I47" s="66" t="str">
        <f aca="false">IFERROR(IF(A47="","",G47+H47),"")</f>
        <v/>
      </c>
      <c r="J47" s="30"/>
    </row>
    <row r="48" customFormat="false" ht="19.5" hidden="false" customHeight="true" outlineLevel="0" collapsed="false">
      <c r="A48" s="47"/>
      <c r="B48" s="48" t="str">
        <f aca="false">IFERROR(VLOOKUP(A48,①従業員マスタ!$A$4:$I$56,2,0),"")</f>
        <v/>
      </c>
      <c r="C48" s="67" t="str">
        <f aca="false">IFERROR(VLOOKUP(A48,①従業員マスタ!$A$4:$I$56,4,0),"")</f>
        <v/>
      </c>
      <c r="D48" s="68" t="str">
        <f aca="false">IFERROR(VLOOKUP(A48,①従業員マスタ!$A$4:$I$56,5,0),"")</f>
        <v/>
      </c>
      <c r="E48" s="57" t="n">
        <f aca="false">IFERROR(SUMPRODUCT((③勤怠記録!$C$4:$C$203=A48)*(ISNUMBER(③勤怠記録!$B$4:$B$203))*(MONTH(③勤怠記録!$B$4:$B$203)=MONTH($B$3))*(YEAR(③勤怠記録!$B$4:$B$203)=YEAR($B$3))*(③勤怠記録!$H$4:$H$203)),0)</f>
        <v>0</v>
      </c>
      <c r="F48" s="57" t="n">
        <f aca="false">IFERROR(SUMPRODUCT((③勤怠記録!$C$4:$C$203=A48)*(ISNUMBER(③勤怠記録!$B$4:$B$203))*(MONTH(③勤怠記録!$B$4:$B$203)=MONTH($B$3))*(YEAR(③勤怠記録!$B$4:$B$203)=YEAR($B$3))*(③勤怠記録!$J$4:$J$203)),0)</f>
        <v>0</v>
      </c>
      <c r="G48" s="68" t="str">
        <f aca="false">IFERROR(IF(A48="","",ROUND(D48*E48,0)),"")</f>
        <v/>
      </c>
      <c r="H48" s="68" t="str">
        <f aca="false">IFERROR(IF(A48="","",ROUND(D48*1.25*F48,0)),"")</f>
        <v/>
      </c>
      <c r="I48" s="69" t="str">
        <f aca="false">IFERROR(IF(A48="","",G48+H48),"")</f>
        <v/>
      </c>
      <c r="J48" s="34"/>
    </row>
    <row r="49" customFormat="false" ht="19.5" hidden="false" customHeight="true" outlineLevel="0" collapsed="false">
      <c r="A49" s="51"/>
      <c r="B49" s="52" t="str">
        <f aca="false">IFERROR(VLOOKUP(A49,①従業員マスタ!$A$4:$I$56,2,0),"")</f>
        <v/>
      </c>
      <c r="C49" s="64" t="str">
        <f aca="false">IFERROR(VLOOKUP(A49,①従業員マスタ!$A$4:$I$56,4,0),"")</f>
        <v/>
      </c>
      <c r="D49" s="65" t="str">
        <f aca="false">IFERROR(VLOOKUP(A49,①従業員マスタ!$A$4:$I$56,5,0),"")</f>
        <v/>
      </c>
      <c r="E49" s="61" t="n">
        <f aca="false">IFERROR(SUMPRODUCT((③勤怠記録!$C$4:$C$203=A49)*(ISNUMBER(③勤怠記録!$B$4:$B$203))*(MONTH(③勤怠記録!$B$4:$B$203)=MONTH($B$3))*(YEAR(③勤怠記録!$B$4:$B$203)=YEAR($B$3))*(③勤怠記録!$H$4:$H$203)),0)</f>
        <v>0</v>
      </c>
      <c r="F49" s="61" t="n">
        <f aca="false">IFERROR(SUMPRODUCT((③勤怠記録!$C$4:$C$203=A49)*(ISNUMBER(③勤怠記録!$B$4:$B$203))*(MONTH(③勤怠記録!$B$4:$B$203)=MONTH($B$3))*(YEAR(③勤怠記録!$B$4:$B$203)=YEAR($B$3))*(③勤怠記録!$J$4:$J$203)),0)</f>
        <v>0</v>
      </c>
      <c r="G49" s="65" t="str">
        <f aca="false">IFERROR(IF(A49="","",ROUND(D49*E49,0)),"")</f>
        <v/>
      </c>
      <c r="H49" s="65" t="str">
        <f aca="false">IFERROR(IF(A49="","",ROUND(D49*1.25*F49,0)),"")</f>
        <v/>
      </c>
      <c r="I49" s="66" t="str">
        <f aca="false">IFERROR(IF(A49="","",G49+H49),"")</f>
        <v/>
      </c>
      <c r="J49" s="30"/>
    </row>
    <row r="50" customFormat="false" ht="19.5" hidden="false" customHeight="true" outlineLevel="0" collapsed="false">
      <c r="A50" s="47"/>
      <c r="B50" s="48" t="str">
        <f aca="false">IFERROR(VLOOKUP(A50,①従業員マスタ!$A$4:$I$56,2,0),"")</f>
        <v/>
      </c>
      <c r="C50" s="67" t="str">
        <f aca="false">IFERROR(VLOOKUP(A50,①従業員マスタ!$A$4:$I$56,4,0),"")</f>
        <v/>
      </c>
      <c r="D50" s="68" t="str">
        <f aca="false">IFERROR(VLOOKUP(A50,①従業員マスタ!$A$4:$I$56,5,0),"")</f>
        <v/>
      </c>
      <c r="E50" s="57" t="n">
        <f aca="false">IFERROR(SUMPRODUCT((③勤怠記録!$C$4:$C$203=A50)*(ISNUMBER(③勤怠記録!$B$4:$B$203))*(MONTH(③勤怠記録!$B$4:$B$203)=MONTH($B$3))*(YEAR(③勤怠記録!$B$4:$B$203)=YEAR($B$3))*(③勤怠記録!$H$4:$H$203)),0)</f>
        <v>0</v>
      </c>
      <c r="F50" s="57" t="n">
        <f aca="false">IFERROR(SUMPRODUCT((③勤怠記録!$C$4:$C$203=A50)*(ISNUMBER(③勤怠記録!$B$4:$B$203))*(MONTH(③勤怠記録!$B$4:$B$203)=MONTH($B$3))*(YEAR(③勤怠記録!$B$4:$B$203)=YEAR($B$3))*(③勤怠記録!$J$4:$J$203)),0)</f>
        <v>0</v>
      </c>
      <c r="G50" s="68" t="str">
        <f aca="false">IFERROR(IF(A50="","",ROUND(D50*E50,0)),"")</f>
        <v/>
      </c>
      <c r="H50" s="68" t="str">
        <f aca="false">IFERROR(IF(A50="","",ROUND(D50*1.25*F50,0)),"")</f>
        <v/>
      </c>
      <c r="I50" s="69" t="str">
        <f aca="false">IFERROR(IF(A50="","",G50+H50),"")</f>
        <v/>
      </c>
      <c r="J50" s="34"/>
    </row>
    <row r="51" customFormat="false" ht="19.5" hidden="false" customHeight="true" outlineLevel="0" collapsed="false">
      <c r="A51" s="51"/>
      <c r="B51" s="52" t="str">
        <f aca="false">IFERROR(VLOOKUP(A51,①従業員マスタ!$A$4:$I$56,2,0),"")</f>
        <v/>
      </c>
      <c r="C51" s="64" t="str">
        <f aca="false">IFERROR(VLOOKUP(A51,①従業員マスタ!$A$4:$I$56,4,0),"")</f>
        <v/>
      </c>
      <c r="D51" s="65" t="str">
        <f aca="false">IFERROR(VLOOKUP(A51,①従業員マスタ!$A$4:$I$56,5,0),"")</f>
        <v/>
      </c>
      <c r="E51" s="61" t="n">
        <f aca="false">IFERROR(SUMPRODUCT((③勤怠記録!$C$4:$C$203=A51)*(ISNUMBER(③勤怠記録!$B$4:$B$203))*(MONTH(③勤怠記録!$B$4:$B$203)=MONTH($B$3))*(YEAR(③勤怠記録!$B$4:$B$203)=YEAR($B$3))*(③勤怠記録!$H$4:$H$203)),0)</f>
        <v>0</v>
      </c>
      <c r="F51" s="61" t="n">
        <f aca="false">IFERROR(SUMPRODUCT((③勤怠記録!$C$4:$C$203=A51)*(ISNUMBER(③勤怠記録!$B$4:$B$203))*(MONTH(③勤怠記録!$B$4:$B$203)=MONTH($B$3))*(YEAR(③勤怠記録!$B$4:$B$203)=YEAR($B$3))*(③勤怠記録!$J$4:$J$203)),0)</f>
        <v>0</v>
      </c>
      <c r="G51" s="65" t="str">
        <f aca="false">IFERROR(IF(A51="","",ROUND(D51*E51,0)),"")</f>
        <v/>
      </c>
      <c r="H51" s="65" t="str">
        <f aca="false">IFERROR(IF(A51="","",ROUND(D51*1.25*F51,0)),"")</f>
        <v/>
      </c>
      <c r="I51" s="66" t="str">
        <f aca="false">IFERROR(IF(A51="","",G51+H51),"")</f>
        <v/>
      </c>
      <c r="J51" s="30"/>
    </row>
    <row r="52" customFormat="false" ht="19.5" hidden="false" customHeight="true" outlineLevel="0" collapsed="false">
      <c r="A52" s="47"/>
      <c r="B52" s="48" t="str">
        <f aca="false">IFERROR(VLOOKUP(A52,①従業員マスタ!$A$4:$I$56,2,0),"")</f>
        <v/>
      </c>
      <c r="C52" s="67" t="str">
        <f aca="false">IFERROR(VLOOKUP(A52,①従業員マスタ!$A$4:$I$56,4,0),"")</f>
        <v/>
      </c>
      <c r="D52" s="68" t="str">
        <f aca="false">IFERROR(VLOOKUP(A52,①従業員マスタ!$A$4:$I$56,5,0),"")</f>
        <v/>
      </c>
      <c r="E52" s="57" t="n">
        <f aca="false">IFERROR(SUMPRODUCT((③勤怠記録!$C$4:$C$203=A52)*(ISNUMBER(③勤怠記録!$B$4:$B$203))*(MONTH(③勤怠記録!$B$4:$B$203)=MONTH($B$3))*(YEAR(③勤怠記録!$B$4:$B$203)=YEAR($B$3))*(③勤怠記録!$H$4:$H$203)),0)</f>
        <v>0</v>
      </c>
      <c r="F52" s="57" t="n">
        <f aca="false">IFERROR(SUMPRODUCT((③勤怠記録!$C$4:$C$203=A52)*(ISNUMBER(③勤怠記録!$B$4:$B$203))*(MONTH(③勤怠記録!$B$4:$B$203)=MONTH($B$3))*(YEAR(③勤怠記録!$B$4:$B$203)=YEAR($B$3))*(③勤怠記録!$J$4:$J$203)),0)</f>
        <v>0</v>
      </c>
      <c r="G52" s="68" t="str">
        <f aca="false">IFERROR(IF(A52="","",ROUND(D52*E52,0)),"")</f>
        <v/>
      </c>
      <c r="H52" s="68" t="str">
        <f aca="false">IFERROR(IF(A52="","",ROUND(D52*1.25*F52,0)),"")</f>
        <v/>
      </c>
      <c r="I52" s="69" t="str">
        <f aca="false">IFERROR(IF(A52="","",G52+H52),"")</f>
        <v/>
      </c>
      <c r="J52" s="34"/>
    </row>
    <row r="53" customFormat="false" ht="19.5" hidden="false" customHeight="true" outlineLevel="0" collapsed="false">
      <c r="A53" s="51"/>
      <c r="B53" s="52" t="str">
        <f aca="false">IFERROR(VLOOKUP(A53,①従業員マスタ!$A$4:$I$56,2,0),"")</f>
        <v/>
      </c>
      <c r="C53" s="64" t="str">
        <f aca="false">IFERROR(VLOOKUP(A53,①従業員マスタ!$A$4:$I$56,4,0),"")</f>
        <v/>
      </c>
      <c r="D53" s="65" t="str">
        <f aca="false">IFERROR(VLOOKUP(A53,①従業員マスタ!$A$4:$I$56,5,0),"")</f>
        <v/>
      </c>
      <c r="E53" s="61" t="n">
        <f aca="false">IFERROR(SUMPRODUCT((③勤怠記録!$C$4:$C$203=A53)*(ISNUMBER(③勤怠記録!$B$4:$B$203))*(MONTH(③勤怠記録!$B$4:$B$203)=MONTH($B$3))*(YEAR(③勤怠記録!$B$4:$B$203)=YEAR($B$3))*(③勤怠記録!$H$4:$H$203)),0)</f>
        <v>0</v>
      </c>
      <c r="F53" s="61" t="n">
        <f aca="false">IFERROR(SUMPRODUCT((③勤怠記録!$C$4:$C$203=A53)*(ISNUMBER(③勤怠記録!$B$4:$B$203))*(MONTH(③勤怠記録!$B$4:$B$203)=MONTH($B$3))*(YEAR(③勤怠記録!$B$4:$B$203)=YEAR($B$3))*(③勤怠記録!$J$4:$J$203)),0)</f>
        <v>0</v>
      </c>
      <c r="G53" s="65" t="str">
        <f aca="false">IFERROR(IF(A53="","",ROUND(D53*E53,0)),"")</f>
        <v/>
      </c>
      <c r="H53" s="65" t="str">
        <f aca="false">IFERROR(IF(A53="","",ROUND(D53*1.25*F53,0)),"")</f>
        <v/>
      </c>
      <c r="I53" s="66" t="str">
        <f aca="false">IFERROR(IF(A53="","",G53+H53),"")</f>
        <v/>
      </c>
      <c r="J53" s="30"/>
    </row>
    <row r="54" customFormat="false" ht="19.5" hidden="false" customHeight="true" outlineLevel="0" collapsed="false">
      <c r="A54" s="47"/>
      <c r="B54" s="48" t="str">
        <f aca="false">IFERROR(VLOOKUP(A54,①従業員マスタ!$A$4:$I$56,2,0),"")</f>
        <v/>
      </c>
      <c r="C54" s="67" t="str">
        <f aca="false">IFERROR(VLOOKUP(A54,①従業員マスタ!$A$4:$I$56,4,0),"")</f>
        <v/>
      </c>
      <c r="D54" s="68" t="str">
        <f aca="false">IFERROR(VLOOKUP(A54,①従業員マスタ!$A$4:$I$56,5,0),"")</f>
        <v/>
      </c>
      <c r="E54" s="57" t="n">
        <f aca="false">IFERROR(SUMPRODUCT((③勤怠記録!$C$4:$C$203=A54)*(ISNUMBER(③勤怠記録!$B$4:$B$203))*(MONTH(③勤怠記録!$B$4:$B$203)=MONTH($B$3))*(YEAR(③勤怠記録!$B$4:$B$203)=YEAR($B$3))*(③勤怠記録!$H$4:$H$203)),0)</f>
        <v>0</v>
      </c>
      <c r="F54" s="57" t="n">
        <f aca="false">IFERROR(SUMPRODUCT((③勤怠記録!$C$4:$C$203=A54)*(ISNUMBER(③勤怠記録!$B$4:$B$203))*(MONTH(③勤怠記録!$B$4:$B$203)=MONTH($B$3))*(YEAR(③勤怠記録!$B$4:$B$203)=YEAR($B$3))*(③勤怠記録!$J$4:$J$203)),0)</f>
        <v>0</v>
      </c>
      <c r="G54" s="68" t="str">
        <f aca="false">IFERROR(IF(A54="","",ROUND(D54*E54,0)),"")</f>
        <v/>
      </c>
      <c r="H54" s="68" t="str">
        <f aca="false">IFERROR(IF(A54="","",ROUND(D54*1.25*F54,0)),"")</f>
        <v/>
      </c>
      <c r="I54" s="69" t="str">
        <f aca="false">IFERROR(IF(A54="","",G54+H54),"")</f>
        <v/>
      </c>
      <c r="J54" s="34"/>
    </row>
    <row r="55" customFormat="false" ht="25.5" hidden="false" customHeight="true" outlineLevel="0" collapsed="false">
      <c r="A55" s="70" t="s">
        <v>89</v>
      </c>
      <c r="B55" s="71"/>
      <c r="C55" s="71"/>
      <c r="D55" s="71"/>
      <c r="E55" s="72" t="n">
        <f aca="false">SUM(E5:E54)</f>
        <v>0</v>
      </c>
      <c r="F55" s="72" t="n">
        <f aca="false">SUM(F5:F54)</f>
        <v>0</v>
      </c>
      <c r="G55" s="73" t="n">
        <f aca="false">SUM(G5:G54)</f>
        <v>0</v>
      </c>
      <c r="H55" s="73" t="n">
        <f aca="false">SUM(H5:H54)</f>
        <v>0</v>
      </c>
      <c r="I55" s="73" t="n">
        <f aca="false">SUM(I5:I54)</f>
        <v>0</v>
      </c>
      <c r="J55" s="71"/>
    </row>
  </sheetData>
  <mergeCells count="4">
    <mergeCell ref="A1:M1"/>
    <mergeCell ref="A2:M2"/>
    <mergeCell ref="C3:F3"/>
    <mergeCell ref="G3:J3"/>
  </mergeCells>
  <conditionalFormatting sqref="I5:I54">
    <cfRule type="expression" priority="2" aboveAverage="0" equalAverage="0" bottom="0" percent="0" rank="0" text="" dxfId="6">
      <formula>$I5&gt;=200000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2026-05-28T12:14:52Z</dcterms:created>
  <dc:creator>openpyxl</dc:creator>
  <dc:description/>
  <dc:language>en-US</dc:language>
  <cp:lastModifiedBy/>
  <dcterms:modified xsi:type="dcterms:W3CDTF">2026-05-28T12:14:53Z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