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【IJI】 Dropbox\mitsugi hiromi\グローカル研究所\自動販売ツール\業務改革\制作物\"/>
    </mc:Choice>
  </mc:AlternateContent>
  <xr:revisionPtr revIDLastSave="0" documentId="13_ncr:1_{4088022B-2953-4048-9E8D-5F51C4522A7F}" xr6:coauthVersionLast="47" xr6:coauthVersionMax="47" xr10:uidLastSave="{00000000-0000-0000-0000-000000000000}"/>
  <bookViews>
    <workbookView xWindow="57480" yWindow="15990" windowWidth="29040" windowHeight="15720" tabRatio="687" xr2:uid="{00000000-000D-0000-FFFF-FFFF00000000}"/>
  </bookViews>
  <sheets>
    <sheet name="📋 使い方ガイド" sheetId="1" r:id="rId1"/>
    <sheet name="【台帳】①顧客マスタ" sheetId="2" r:id="rId2"/>
    <sheet name="【台帳】②購買記録" sheetId="3" r:id="rId3"/>
    <sheet name="【台帳】③顧客カルテ" sheetId="4" r:id="rId4"/>
    <sheet name="【台帳】④売上分析" sheetId="5" r:id="rId5"/>
    <sheet name="【会員】①会員マスタ" sheetId="6" r:id="rId6"/>
    <sheet name="【会員】②CSVペースト" sheetId="7" r:id="rId7"/>
    <sheet name="【会員】③引落し管理" sheetId="8" r:id="rId8"/>
    <sheet name="【会員】③プランマスタ" sheetId="9" r:id="rId9"/>
    <sheet name="【会員】④売上分析" sheetId="10" r:id="rId10"/>
  </sheets>
  <externalReferences>
    <externalReference r:id="rId11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4" i="10" l="1"/>
  <c r="B24" i="10" s="1"/>
  <c r="A23" i="10"/>
  <c r="B23" i="10" s="1"/>
  <c r="A22" i="10"/>
  <c r="B22" i="10" s="1"/>
  <c r="C22" i="10" s="1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C18" i="10" s="1"/>
  <c r="B6" i="10"/>
  <c r="B18" i="10" s="1"/>
  <c r="I104" i="8"/>
  <c r="E104" i="8"/>
  <c r="F104" i="8" s="1"/>
  <c r="G104" i="8" s="1"/>
  <c r="D104" i="8"/>
  <c r="H104" i="8" s="1"/>
  <c r="C104" i="8"/>
  <c r="B104" i="8"/>
  <c r="I103" i="8"/>
  <c r="E103" i="8"/>
  <c r="F103" i="8" s="1"/>
  <c r="G103" i="8" s="1"/>
  <c r="H103" i="8" s="1"/>
  <c r="D103" i="8"/>
  <c r="C103" i="8"/>
  <c r="B103" i="8"/>
  <c r="I102" i="8"/>
  <c r="E102" i="8"/>
  <c r="F102" i="8" s="1"/>
  <c r="G102" i="8" s="1"/>
  <c r="H102" i="8" s="1"/>
  <c r="D102" i="8"/>
  <c r="C102" i="8"/>
  <c r="B102" i="8"/>
  <c r="I101" i="8"/>
  <c r="E101" i="8"/>
  <c r="F101" i="8" s="1"/>
  <c r="G101" i="8" s="1"/>
  <c r="D101" i="8"/>
  <c r="C101" i="8"/>
  <c r="B101" i="8"/>
  <c r="I100" i="8"/>
  <c r="E100" i="8"/>
  <c r="F100" i="8" s="1"/>
  <c r="G100" i="8" s="1"/>
  <c r="D100" i="8"/>
  <c r="H100" i="8" s="1"/>
  <c r="C100" i="8"/>
  <c r="B100" i="8"/>
  <c r="I99" i="8"/>
  <c r="E99" i="8"/>
  <c r="F99" i="8" s="1"/>
  <c r="G99" i="8" s="1"/>
  <c r="D99" i="8"/>
  <c r="C99" i="8"/>
  <c r="B99" i="8"/>
  <c r="I98" i="8"/>
  <c r="E98" i="8"/>
  <c r="F98" i="8" s="1"/>
  <c r="G98" i="8" s="1"/>
  <c r="H98" i="8" s="1"/>
  <c r="D98" i="8"/>
  <c r="C98" i="8"/>
  <c r="B98" i="8"/>
  <c r="I97" i="8"/>
  <c r="F97" i="8"/>
  <c r="G97" i="8" s="1"/>
  <c r="H97" i="8" s="1"/>
  <c r="E97" i="8"/>
  <c r="D97" i="8"/>
  <c r="C97" i="8"/>
  <c r="B97" i="8"/>
  <c r="I96" i="8"/>
  <c r="E96" i="8"/>
  <c r="F96" i="8" s="1"/>
  <c r="G96" i="8" s="1"/>
  <c r="D96" i="8"/>
  <c r="C96" i="8"/>
  <c r="B96" i="8"/>
  <c r="I95" i="8"/>
  <c r="E95" i="8"/>
  <c r="F95" i="8" s="1"/>
  <c r="G95" i="8" s="1"/>
  <c r="D95" i="8"/>
  <c r="C95" i="8"/>
  <c r="B95" i="8"/>
  <c r="I94" i="8"/>
  <c r="E94" i="8"/>
  <c r="F94" i="8" s="1"/>
  <c r="G94" i="8" s="1"/>
  <c r="D94" i="8"/>
  <c r="C94" i="8"/>
  <c r="B94" i="8"/>
  <c r="I93" i="8"/>
  <c r="E93" i="8"/>
  <c r="F93" i="8" s="1"/>
  <c r="G93" i="8" s="1"/>
  <c r="D93" i="8"/>
  <c r="C93" i="8"/>
  <c r="B93" i="8"/>
  <c r="I92" i="8"/>
  <c r="E92" i="8"/>
  <c r="F92" i="8" s="1"/>
  <c r="G92" i="8" s="1"/>
  <c r="H92" i="8" s="1"/>
  <c r="D92" i="8"/>
  <c r="C92" i="8"/>
  <c r="B92" i="8"/>
  <c r="I91" i="8"/>
  <c r="E91" i="8"/>
  <c r="F91" i="8" s="1"/>
  <c r="G91" i="8" s="1"/>
  <c r="D91" i="8"/>
  <c r="C91" i="8"/>
  <c r="B91" i="8"/>
  <c r="I90" i="8"/>
  <c r="E90" i="8"/>
  <c r="F90" i="8" s="1"/>
  <c r="G90" i="8" s="1"/>
  <c r="D90" i="8"/>
  <c r="C90" i="8"/>
  <c r="B90" i="8"/>
  <c r="I89" i="8"/>
  <c r="E89" i="8"/>
  <c r="F89" i="8" s="1"/>
  <c r="G89" i="8" s="1"/>
  <c r="D89" i="8"/>
  <c r="C89" i="8"/>
  <c r="B89" i="8"/>
  <c r="I88" i="8"/>
  <c r="E88" i="8"/>
  <c r="F88" i="8" s="1"/>
  <c r="G88" i="8" s="1"/>
  <c r="H88" i="8" s="1"/>
  <c r="D88" i="8"/>
  <c r="C88" i="8"/>
  <c r="B88" i="8"/>
  <c r="I87" i="8"/>
  <c r="E87" i="8"/>
  <c r="F87" i="8" s="1"/>
  <c r="G87" i="8" s="1"/>
  <c r="H87" i="8" s="1"/>
  <c r="D87" i="8"/>
  <c r="C87" i="8"/>
  <c r="B87" i="8"/>
  <c r="I86" i="8"/>
  <c r="E86" i="8"/>
  <c r="F86" i="8" s="1"/>
  <c r="G86" i="8" s="1"/>
  <c r="D86" i="8"/>
  <c r="C86" i="8"/>
  <c r="B86" i="8"/>
  <c r="I85" i="8"/>
  <c r="E85" i="8"/>
  <c r="F85" i="8" s="1"/>
  <c r="G85" i="8" s="1"/>
  <c r="D85" i="8"/>
  <c r="H85" i="8" s="1"/>
  <c r="C85" i="8"/>
  <c r="B85" i="8"/>
  <c r="I84" i="8"/>
  <c r="E84" i="8"/>
  <c r="F84" i="8" s="1"/>
  <c r="G84" i="8" s="1"/>
  <c r="D84" i="8"/>
  <c r="C84" i="8"/>
  <c r="B84" i="8"/>
  <c r="I83" i="8"/>
  <c r="E83" i="8"/>
  <c r="F83" i="8" s="1"/>
  <c r="G83" i="8" s="1"/>
  <c r="D83" i="8"/>
  <c r="C83" i="8"/>
  <c r="B83" i="8"/>
  <c r="I82" i="8"/>
  <c r="F82" i="8"/>
  <c r="G82" i="8" s="1"/>
  <c r="H82" i="8" s="1"/>
  <c r="E82" i="8"/>
  <c r="D82" i="8"/>
  <c r="C82" i="8"/>
  <c r="B82" i="8"/>
  <c r="I81" i="8"/>
  <c r="E81" i="8"/>
  <c r="F81" i="8" s="1"/>
  <c r="G81" i="8" s="1"/>
  <c r="D81" i="8"/>
  <c r="C81" i="8"/>
  <c r="B81" i="8"/>
  <c r="I80" i="8"/>
  <c r="E80" i="8"/>
  <c r="F80" i="8" s="1"/>
  <c r="G80" i="8" s="1"/>
  <c r="D80" i="8"/>
  <c r="C80" i="8"/>
  <c r="B80" i="8"/>
  <c r="I79" i="8"/>
  <c r="E79" i="8"/>
  <c r="F79" i="8" s="1"/>
  <c r="G79" i="8" s="1"/>
  <c r="D79" i="8"/>
  <c r="C79" i="8"/>
  <c r="B79" i="8"/>
  <c r="I78" i="8"/>
  <c r="E78" i="8"/>
  <c r="F78" i="8" s="1"/>
  <c r="G78" i="8" s="1"/>
  <c r="D78" i="8"/>
  <c r="C78" i="8"/>
  <c r="B78" i="8"/>
  <c r="I77" i="8"/>
  <c r="E77" i="8"/>
  <c r="F77" i="8" s="1"/>
  <c r="G77" i="8" s="1"/>
  <c r="H77" i="8" s="1"/>
  <c r="D77" i="8"/>
  <c r="C77" i="8"/>
  <c r="B77" i="8"/>
  <c r="I76" i="8"/>
  <c r="E76" i="8"/>
  <c r="F76" i="8" s="1"/>
  <c r="G76" i="8" s="1"/>
  <c r="D76" i="8"/>
  <c r="C76" i="8"/>
  <c r="B76" i="8"/>
  <c r="I75" i="8"/>
  <c r="E75" i="8"/>
  <c r="F75" i="8" s="1"/>
  <c r="G75" i="8" s="1"/>
  <c r="D75" i="8"/>
  <c r="C75" i="8"/>
  <c r="B75" i="8"/>
  <c r="I74" i="8"/>
  <c r="E74" i="8"/>
  <c r="F74" i="8" s="1"/>
  <c r="G74" i="8" s="1"/>
  <c r="D74" i="8"/>
  <c r="C74" i="8"/>
  <c r="B74" i="8"/>
  <c r="I73" i="8"/>
  <c r="E73" i="8"/>
  <c r="F73" i="8" s="1"/>
  <c r="G73" i="8" s="1"/>
  <c r="H73" i="8" s="1"/>
  <c r="D73" i="8"/>
  <c r="C73" i="8"/>
  <c r="B73" i="8"/>
  <c r="I72" i="8"/>
  <c r="F72" i="8"/>
  <c r="G72" i="8" s="1"/>
  <c r="H72" i="8" s="1"/>
  <c r="E72" i="8"/>
  <c r="D72" i="8"/>
  <c r="C72" i="8"/>
  <c r="B72" i="8"/>
  <c r="I71" i="8"/>
  <c r="E71" i="8"/>
  <c r="F71" i="8" s="1"/>
  <c r="G71" i="8" s="1"/>
  <c r="D71" i="8"/>
  <c r="H71" i="8" s="1"/>
  <c r="C71" i="8"/>
  <c r="B71" i="8"/>
  <c r="I70" i="8"/>
  <c r="E70" i="8"/>
  <c r="F70" i="8" s="1"/>
  <c r="G70" i="8" s="1"/>
  <c r="D70" i="8"/>
  <c r="C70" i="8"/>
  <c r="B70" i="8"/>
  <c r="I69" i="8"/>
  <c r="E69" i="8"/>
  <c r="F69" i="8" s="1"/>
  <c r="G69" i="8" s="1"/>
  <c r="D69" i="8"/>
  <c r="C69" i="8"/>
  <c r="B69" i="8"/>
  <c r="I68" i="8"/>
  <c r="E68" i="8"/>
  <c r="F68" i="8" s="1"/>
  <c r="G68" i="8" s="1"/>
  <c r="H68" i="8" s="1"/>
  <c r="D68" i="8"/>
  <c r="C68" i="8"/>
  <c r="B68" i="8"/>
  <c r="I67" i="8"/>
  <c r="E67" i="8"/>
  <c r="F67" i="8" s="1"/>
  <c r="G67" i="8" s="1"/>
  <c r="H67" i="8" s="1"/>
  <c r="D67" i="8"/>
  <c r="C67" i="8"/>
  <c r="B67" i="8"/>
  <c r="I66" i="8"/>
  <c r="E66" i="8"/>
  <c r="F66" i="8" s="1"/>
  <c r="G66" i="8" s="1"/>
  <c r="D66" i="8"/>
  <c r="H66" i="8" s="1"/>
  <c r="C66" i="8"/>
  <c r="B66" i="8"/>
  <c r="I65" i="8"/>
  <c r="E65" i="8"/>
  <c r="F65" i="8" s="1"/>
  <c r="G65" i="8" s="1"/>
  <c r="D65" i="8"/>
  <c r="C65" i="8"/>
  <c r="B65" i="8"/>
  <c r="I64" i="8"/>
  <c r="E64" i="8"/>
  <c r="F64" i="8" s="1"/>
  <c r="G64" i="8" s="1"/>
  <c r="D64" i="8"/>
  <c r="C64" i="8"/>
  <c r="B64" i="8"/>
  <c r="I63" i="8"/>
  <c r="E63" i="8"/>
  <c r="F63" i="8" s="1"/>
  <c r="G63" i="8" s="1"/>
  <c r="H63" i="8" s="1"/>
  <c r="D63" i="8"/>
  <c r="C63" i="8"/>
  <c r="B63" i="8"/>
  <c r="I62" i="8"/>
  <c r="E62" i="8"/>
  <c r="F62" i="8" s="1"/>
  <c r="G62" i="8" s="1"/>
  <c r="H62" i="8" s="1"/>
  <c r="D62" i="8"/>
  <c r="C62" i="8"/>
  <c r="B62" i="8"/>
  <c r="I61" i="8"/>
  <c r="E61" i="8"/>
  <c r="F61" i="8" s="1"/>
  <c r="G61" i="8" s="1"/>
  <c r="D61" i="8"/>
  <c r="H61" i="8" s="1"/>
  <c r="C61" i="8"/>
  <c r="B61" i="8"/>
  <c r="I60" i="8"/>
  <c r="E60" i="8"/>
  <c r="F60" i="8" s="1"/>
  <c r="G60" i="8" s="1"/>
  <c r="D60" i="8"/>
  <c r="C60" i="8"/>
  <c r="B60" i="8"/>
  <c r="I59" i="8"/>
  <c r="E59" i="8"/>
  <c r="F59" i="8" s="1"/>
  <c r="G59" i="8" s="1"/>
  <c r="D59" i="8"/>
  <c r="C59" i="8"/>
  <c r="B59" i="8"/>
  <c r="I58" i="8"/>
  <c r="E58" i="8"/>
  <c r="F58" i="8" s="1"/>
  <c r="G58" i="8" s="1"/>
  <c r="H58" i="8" s="1"/>
  <c r="D58" i="8"/>
  <c r="C58" i="8"/>
  <c r="B58" i="8"/>
  <c r="I57" i="8"/>
  <c r="E57" i="8"/>
  <c r="F57" i="8" s="1"/>
  <c r="G57" i="8" s="1"/>
  <c r="H57" i="8" s="1"/>
  <c r="D57" i="8"/>
  <c r="C57" i="8"/>
  <c r="B57" i="8"/>
  <c r="I56" i="8"/>
  <c r="E56" i="8"/>
  <c r="F56" i="8" s="1"/>
  <c r="G56" i="8" s="1"/>
  <c r="D56" i="8"/>
  <c r="C56" i="8"/>
  <c r="B56" i="8"/>
  <c r="I55" i="8"/>
  <c r="E55" i="8"/>
  <c r="F55" i="8" s="1"/>
  <c r="G55" i="8" s="1"/>
  <c r="D55" i="8"/>
  <c r="C55" i="8"/>
  <c r="B55" i="8"/>
  <c r="I54" i="8"/>
  <c r="E54" i="8"/>
  <c r="F54" i="8" s="1"/>
  <c r="G54" i="8" s="1"/>
  <c r="D54" i="8"/>
  <c r="C54" i="8"/>
  <c r="B54" i="8"/>
  <c r="I53" i="8"/>
  <c r="E53" i="8"/>
  <c r="F53" i="8" s="1"/>
  <c r="G53" i="8" s="1"/>
  <c r="H53" i="8" s="1"/>
  <c r="D53" i="8"/>
  <c r="C53" i="8"/>
  <c r="B53" i="8"/>
  <c r="I52" i="8"/>
  <c r="F52" i="8"/>
  <c r="G52" i="8" s="1"/>
  <c r="H52" i="8" s="1"/>
  <c r="E52" i="8"/>
  <c r="D52" i="8"/>
  <c r="C52" i="8"/>
  <c r="B52" i="8"/>
  <c r="I51" i="8"/>
  <c r="E51" i="8"/>
  <c r="F51" i="8" s="1"/>
  <c r="G51" i="8" s="1"/>
  <c r="D51" i="8"/>
  <c r="C51" i="8"/>
  <c r="B51" i="8"/>
  <c r="I50" i="8"/>
  <c r="E50" i="8"/>
  <c r="F50" i="8" s="1"/>
  <c r="G50" i="8" s="1"/>
  <c r="D50" i="8"/>
  <c r="C50" i="8"/>
  <c r="B50" i="8"/>
  <c r="I49" i="8"/>
  <c r="E49" i="8"/>
  <c r="F49" i="8" s="1"/>
  <c r="G49" i="8" s="1"/>
  <c r="D49" i="8"/>
  <c r="C49" i="8"/>
  <c r="B49" i="8"/>
  <c r="I48" i="8"/>
  <c r="E48" i="8"/>
  <c r="F48" i="8" s="1"/>
  <c r="G48" i="8" s="1"/>
  <c r="D48" i="8"/>
  <c r="C48" i="8"/>
  <c r="B48" i="8"/>
  <c r="I47" i="8"/>
  <c r="F47" i="8"/>
  <c r="G47" i="8" s="1"/>
  <c r="E47" i="8"/>
  <c r="D47" i="8"/>
  <c r="C47" i="8"/>
  <c r="B47" i="8"/>
  <c r="I46" i="8"/>
  <c r="E46" i="8"/>
  <c r="F46" i="8" s="1"/>
  <c r="G46" i="8" s="1"/>
  <c r="D46" i="8"/>
  <c r="C46" i="8"/>
  <c r="B46" i="8"/>
  <c r="I45" i="8"/>
  <c r="E45" i="8"/>
  <c r="F45" i="8" s="1"/>
  <c r="G45" i="8" s="1"/>
  <c r="D45" i="8"/>
  <c r="H45" i="8" s="1"/>
  <c r="C45" i="8"/>
  <c r="B45" i="8"/>
  <c r="I44" i="8"/>
  <c r="E44" i="8"/>
  <c r="F44" i="8" s="1"/>
  <c r="G44" i="8" s="1"/>
  <c r="D44" i="8"/>
  <c r="H44" i="8" s="1"/>
  <c r="C44" i="8"/>
  <c r="B44" i="8"/>
  <c r="I43" i="8"/>
  <c r="E43" i="8"/>
  <c r="F43" i="8" s="1"/>
  <c r="G43" i="8" s="1"/>
  <c r="D43" i="8"/>
  <c r="C43" i="8"/>
  <c r="B43" i="8"/>
  <c r="I42" i="8"/>
  <c r="E42" i="8"/>
  <c r="F42" i="8" s="1"/>
  <c r="G42" i="8" s="1"/>
  <c r="H42" i="8" s="1"/>
  <c r="D42" i="8"/>
  <c r="C42" i="8"/>
  <c r="B42" i="8"/>
  <c r="I41" i="8"/>
  <c r="E41" i="8"/>
  <c r="F41" i="8" s="1"/>
  <c r="G41" i="8" s="1"/>
  <c r="D41" i="8"/>
  <c r="C41" i="8"/>
  <c r="B41" i="8"/>
  <c r="I40" i="8"/>
  <c r="E40" i="8"/>
  <c r="F40" i="8" s="1"/>
  <c r="G40" i="8" s="1"/>
  <c r="D40" i="8"/>
  <c r="C40" i="8"/>
  <c r="B40" i="8"/>
  <c r="I39" i="8"/>
  <c r="E39" i="8"/>
  <c r="F39" i="8" s="1"/>
  <c r="G39" i="8" s="1"/>
  <c r="D39" i="8"/>
  <c r="C39" i="8"/>
  <c r="B39" i="8"/>
  <c r="I38" i="8"/>
  <c r="E38" i="8"/>
  <c r="F38" i="8" s="1"/>
  <c r="G38" i="8" s="1"/>
  <c r="D38" i="8"/>
  <c r="C38" i="8"/>
  <c r="B38" i="8"/>
  <c r="I37" i="8"/>
  <c r="F37" i="8"/>
  <c r="G37" i="8" s="1"/>
  <c r="H37" i="8" s="1"/>
  <c r="E37" i="8"/>
  <c r="D37" i="8"/>
  <c r="C37" i="8"/>
  <c r="B37" i="8"/>
  <c r="I36" i="8"/>
  <c r="E36" i="8"/>
  <c r="F36" i="8" s="1"/>
  <c r="G36" i="8" s="1"/>
  <c r="D36" i="8"/>
  <c r="H36" i="8" s="1"/>
  <c r="C36" i="8"/>
  <c r="B36" i="8"/>
  <c r="I35" i="8"/>
  <c r="E35" i="8"/>
  <c r="F35" i="8" s="1"/>
  <c r="G35" i="8" s="1"/>
  <c r="D35" i="8"/>
  <c r="H35" i="8" s="1"/>
  <c r="C35" i="8"/>
  <c r="B35" i="8"/>
  <c r="I34" i="8"/>
  <c r="E34" i="8"/>
  <c r="F34" i="8" s="1"/>
  <c r="G34" i="8" s="1"/>
  <c r="D34" i="8"/>
  <c r="H34" i="8" s="1"/>
  <c r="C34" i="8"/>
  <c r="B34" i="8"/>
  <c r="I33" i="8"/>
  <c r="E33" i="8"/>
  <c r="F33" i="8" s="1"/>
  <c r="G33" i="8" s="1"/>
  <c r="H33" i="8" s="1"/>
  <c r="D33" i="8"/>
  <c r="C33" i="8"/>
  <c r="B33" i="8"/>
  <c r="I32" i="8"/>
  <c r="F32" i="8"/>
  <c r="G32" i="8" s="1"/>
  <c r="H32" i="8" s="1"/>
  <c r="E32" i="8"/>
  <c r="D32" i="8"/>
  <c r="C32" i="8"/>
  <c r="B32" i="8"/>
  <c r="I31" i="8"/>
  <c r="E31" i="8"/>
  <c r="F31" i="8" s="1"/>
  <c r="G31" i="8" s="1"/>
  <c r="D31" i="8"/>
  <c r="C31" i="8"/>
  <c r="B31" i="8"/>
  <c r="I30" i="8"/>
  <c r="E30" i="8"/>
  <c r="F30" i="8" s="1"/>
  <c r="G30" i="8" s="1"/>
  <c r="D30" i="8"/>
  <c r="C30" i="8"/>
  <c r="B30" i="8"/>
  <c r="I29" i="8"/>
  <c r="E29" i="8"/>
  <c r="F29" i="8" s="1"/>
  <c r="G29" i="8" s="1"/>
  <c r="D29" i="8"/>
  <c r="H29" i="8" s="1"/>
  <c r="C29" i="8"/>
  <c r="B29" i="8"/>
  <c r="I28" i="8"/>
  <c r="E28" i="8"/>
  <c r="F28" i="8" s="1"/>
  <c r="G28" i="8" s="1"/>
  <c r="H28" i="8" s="1"/>
  <c r="D28" i="8"/>
  <c r="C28" i="8"/>
  <c r="B28" i="8"/>
  <c r="I27" i="8"/>
  <c r="E27" i="8"/>
  <c r="F27" i="8" s="1"/>
  <c r="G27" i="8" s="1"/>
  <c r="H27" i="8" s="1"/>
  <c r="D27" i="8"/>
  <c r="C27" i="8"/>
  <c r="B27" i="8"/>
  <c r="I26" i="8"/>
  <c r="E26" i="8"/>
  <c r="F26" i="8" s="1"/>
  <c r="G26" i="8" s="1"/>
  <c r="D26" i="8"/>
  <c r="C26" i="8"/>
  <c r="B26" i="8"/>
  <c r="I25" i="8"/>
  <c r="E25" i="8"/>
  <c r="F25" i="8" s="1"/>
  <c r="G25" i="8" s="1"/>
  <c r="D25" i="8"/>
  <c r="H25" i="8" s="1"/>
  <c r="C25" i="8"/>
  <c r="B25" i="8"/>
  <c r="I24" i="8"/>
  <c r="E24" i="8"/>
  <c r="F24" i="8" s="1"/>
  <c r="G24" i="8" s="1"/>
  <c r="D24" i="8"/>
  <c r="H24" i="8" s="1"/>
  <c r="C24" i="8"/>
  <c r="B24" i="8"/>
  <c r="I23" i="8"/>
  <c r="E23" i="8"/>
  <c r="F23" i="8" s="1"/>
  <c r="G23" i="8" s="1"/>
  <c r="H23" i="8" s="1"/>
  <c r="D23" i="8"/>
  <c r="C23" i="8"/>
  <c r="B23" i="8"/>
  <c r="I22" i="8"/>
  <c r="E22" i="8"/>
  <c r="F22" i="8" s="1"/>
  <c r="G22" i="8" s="1"/>
  <c r="H22" i="8" s="1"/>
  <c r="D22" i="8"/>
  <c r="C22" i="8"/>
  <c r="B22" i="8"/>
  <c r="I21" i="8"/>
  <c r="E21" i="8"/>
  <c r="F21" i="8" s="1"/>
  <c r="G21" i="8" s="1"/>
  <c r="D21" i="8"/>
  <c r="C21" i="8"/>
  <c r="B21" i="8"/>
  <c r="I20" i="8"/>
  <c r="E20" i="8"/>
  <c r="F20" i="8" s="1"/>
  <c r="G20" i="8" s="1"/>
  <c r="D20" i="8"/>
  <c r="H20" i="8" s="1"/>
  <c r="C20" i="8"/>
  <c r="B20" i="8"/>
  <c r="I19" i="8"/>
  <c r="E19" i="8"/>
  <c r="F19" i="8" s="1"/>
  <c r="G19" i="8" s="1"/>
  <c r="D19" i="8"/>
  <c r="C19" i="8"/>
  <c r="B19" i="8"/>
  <c r="I18" i="8"/>
  <c r="E18" i="8"/>
  <c r="F18" i="8" s="1"/>
  <c r="G18" i="8" s="1"/>
  <c r="H18" i="8" s="1"/>
  <c r="D18" i="8"/>
  <c r="C18" i="8"/>
  <c r="B18" i="8"/>
  <c r="I17" i="8"/>
  <c r="F17" i="8"/>
  <c r="G17" i="8" s="1"/>
  <c r="H17" i="8" s="1"/>
  <c r="E17" i="8"/>
  <c r="D17" i="8"/>
  <c r="C17" i="8"/>
  <c r="B17" i="8"/>
  <c r="I16" i="8"/>
  <c r="E16" i="8"/>
  <c r="F16" i="8" s="1"/>
  <c r="G16" i="8" s="1"/>
  <c r="D16" i="8"/>
  <c r="C16" i="8"/>
  <c r="B16" i="8"/>
  <c r="I15" i="8"/>
  <c r="E15" i="8"/>
  <c r="F15" i="8" s="1"/>
  <c r="G15" i="8" s="1"/>
  <c r="D15" i="8"/>
  <c r="H15" i="8" s="1"/>
  <c r="C15" i="8"/>
  <c r="B15" i="8"/>
  <c r="I14" i="8"/>
  <c r="E14" i="8"/>
  <c r="F14" i="8" s="1"/>
  <c r="G14" i="8" s="1"/>
  <c r="D14" i="8"/>
  <c r="C14" i="8"/>
  <c r="B14" i="8"/>
  <c r="I13" i="8"/>
  <c r="E13" i="8"/>
  <c r="F13" i="8" s="1"/>
  <c r="G13" i="8" s="1"/>
  <c r="D13" i="8"/>
  <c r="C13" i="8"/>
  <c r="B13" i="8"/>
  <c r="I12" i="8"/>
  <c r="E12" i="8"/>
  <c r="F12" i="8" s="1"/>
  <c r="G12" i="8" s="1"/>
  <c r="H12" i="8" s="1"/>
  <c r="D12" i="8"/>
  <c r="C12" i="8"/>
  <c r="B12" i="8"/>
  <c r="I11" i="8"/>
  <c r="E11" i="8"/>
  <c r="F11" i="8" s="1"/>
  <c r="G11" i="8" s="1"/>
  <c r="D11" i="8"/>
  <c r="C11" i="8"/>
  <c r="B11" i="8"/>
  <c r="I10" i="8"/>
  <c r="E10" i="8"/>
  <c r="F10" i="8" s="1"/>
  <c r="G10" i="8" s="1"/>
  <c r="D10" i="8"/>
  <c r="C10" i="8"/>
  <c r="B10" i="8"/>
  <c r="I9" i="8"/>
  <c r="E9" i="8"/>
  <c r="F9" i="8" s="1"/>
  <c r="G9" i="8" s="1"/>
  <c r="D9" i="8"/>
  <c r="C9" i="8"/>
  <c r="B9" i="8"/>
  <c r="I8" i="8"/>
  <c r="E8" i="8"/>
  <c r="F8" i="8" s="1"/>
  <c r="G8" i="8" s="1"/>
  <c r="H8" i="8" s="1"/>
  <c r="D8" i="8"/>
  <c r="C8" i="8"/>
  <c r="B8" i="8"/>
  <c r="I7" i="8"/>
  <c r="E7" i="8"/>
  <c r="F7" i="8" s="1"/>
  <c r="G7" i="8" s="1"/>
  <c r="H7" i="8" s="1"/>
  <c r="D7" i="8"/>
  <c r="C7" i="8"/>
  <c r="B7" i="8"/>
  <c r="I6" i="8"/>
  <c r="E6" i="8"/>
  <c r="F6" i="8" s="1"/>
  <c r="G6" i="8" s="1"/>
  <c r="D6" i="8"/>
  <c r="H6" i="8" s="1"/>
  <c r="C6" i="8"/>
  <c r="B6" i="8"/>
  <c r="I5" i="8"/>
  <c r="E5" i="8"/>
  <c r="F5" i="8" s="1"/>
  <c r="G5" i="8" s="1"/>
  <c r="D5" i="8"/>
  <c r="H5" i="8" s="1"/>
  <c r="C5" i="8"/>
  <c r="B5" i="8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B16" i="4"/>
  <c r="A15" i="4"/>
  <c r="B10" i="4"/>
  <c r="B9" i="4"/>
  <c r="B8" i="4"/>
  <c r="B7" i="4"/>
  <c r="B6" i="4"/>
  <c r="B5" i="4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B9" i="5" s="1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30" i="8" l="1"/>
  <c r="H49" i="8"/>
  <c r="H83" i="8"/>
  <c r="H11" i="8"/>
  <c r="H76" i="8"/>
  <c r="H31" i="8"/>
  <c r="H50" i="8"/>
  <c r="H69" i="8"/>
  <c r="H43" i="8"/>
  <c r="H51" i="8"/>
  <c r="H70" i="8"/>
  <c r="H95" i="8"/>
  <c r="H19" i="8"/>
  <c r="H47" i="8"/>
  <c r="H55" i="8"/>
  <c r="H74" i="8"/>
  <c r="H89" i="8"/>
  <c r="H54" i="8"/>
  <c r="H16" i="8"/>
  <c r="H13" i="8"/>
  <c r="H21" i="8"/>
  <c r="H40" i="8"/>
  <c r="H59" i="8"/>
  <c r="H78" i="8"/>
  <c r="H93" i="8"/>
  <c r="H101" i="8"/>
  <c r="H26" i="8"/>
  <c r="H81" i="8"/>
  <c r="H10" i="8"/>
  <c r="H48" i="8"/>
  <c r="H56" i="8"/>
  <c r="H75" i="8"/>
  <c r="H90" i="8"/>
  <c r="H38" i="8"/>
  <c r="H46" i="8"/>
  <c r="H65" i="8"/>
  <c r="H84" i="8"/>
  <c r="H79" i="8"/>
  <c r="H94" i="8"/>
  <c r="H80" i="8"/>
  <c r="H96" i="8"/>
  <c r="H41" i="8"/>
  <c r="H60" i="8"/>
  <c r="C15" i="5"/>
  <c r="B15" i="5"/>
  <c r="C14" i="5"/>
  <c r="B14" i="5"/>
  <c r="B12" i="5"/>
  <c r="C11" i="5"/>
  <c r="B11" i="5"/>
  <c r="C10" i="5"/>
  <c r="B10" i="5"/>
  <c r="C8" i="5"/>
  <c r="B8" i="5"/>
  <c r="B17" i="5"/>
  <c r="C16" i="5"/>
  <c r="B6" i="5"/>
  <c r="C13" i="5"/>
  <c r="C17" i="5"/>
  <c r="C7" i="5"/>
  <c r="B7" i="5"/>
  <c r="C6" i="5"/>
  <c r="B16" i="5"/>
  <c r="H14" i="8"/>
  <c r="H39" i="8"/>
  <c r="H64" i="8"/>
  <c r="H86" i="8"/>
  <c r="C9" i="5"/>
  <c r="C12" i="5"/>
  <c r="B13" i="5"/>
  <c r="C23" i="10"/>
  <c r="H99" i="8"/>
  <c r="H9" i="8"/>
  <c r="H91" i="8"/>
  <c r="C24" i="10"/>
  <c r="C18" i="5" l="1"/>
  <c r="B18" i="5"/>
</calcChain>
</file>

<file path=xl/sharedStrings.xml><?xml version="1.0" encoding="utf-8"?>
<sst xmlns="http://schemas.openxmlformats.org/spreadsheetml/2006/main" count="233" uniqueCount="171">
  <si>
    <t>② 顧客管理</t>
  </si>
  <si>
    <t>📂  シート構成</t>
  </si>
  <si>
    <t>シート名</t>
  </si>
  <si>
    <t>役割</t>
  </si>
  <si>
    <t>主な操作・入力</t>
  </si>
  <si>
    <t>【台帳】①顧客マスタ</t>
  </si>
  <si>
    <t>顧客の基本情報を登録する台帳</t>
  </si>
  <si>
    <r>
      <rPr>
        <sz val="9"/>
        <color rgb="FF555555"/>
        <rFont val="Noto Sans CJK SC"/>
        <family val="2"/>
      </rPr>
      <t>顧客</t>
    </r>
    <r>
      <rPr>
        <sz val="9"/>
        <color rgb="FF555555"/>
        <rFont val="Arial"/>
        <family val="2"/>
      </rPr>
      <t>ID</t>
    </r>
    <r>
      <rPr>
        <sz val="9"/>
        <color rgb="FF555555"/>
        <rFont val="Noto Sans CJK SC"/>
        <family val="2"/>
      </rPr>
      <t>は変更しないこと。購買記録と紐づいている</t>
    </r>
  </si>
  <si>
    <t>【台帳】②購買記録</t>
  </si>
  <si>
    <t>日々の売上と顧客を紐づけて記録</t>
  </si>
  <si>
    <r>
      <rPr>
        <sz val="9"/>
        <color rgb="FF555555"/>
        <rFont val="Noto Sans CJK SC"/>
        <family val="2"/>
      </rPr>
      <t>顧客</t>
    </r>
    <r>
      <rPr>
        <sz val="9"/>
        <color rgb="FF555555"/>
        <rFont val="Arial"/>
        <family val="2"/>
      </rPr>
      <t>ID</t>
    </r>
    <r>
      <rPr>
        <sz val="9"/>
        <color rgb="FF555555"/>
        <rFont val="Noto Sans CJK SC"/>
        <family val="2"/>
      </rPr>
      <t>を入力すると氏名が自動表示。数量</t>
    </r>
    <r>
      <rPr>
        <sz val="9"/>
        <color rgb="FF555555"/>
        <rFont val="Arial"/>
        <family val="2"/>
      </rPr>
      <t>×</t>
    </r>
    <r>
      <rPr>
        <sz val="9"/>
        <color rgb="FF555555"/>
        <rFont val="Noto Sans CJK SC"/>
        <family val="2"/>
      </rPr>
      <t>単価で金額自動計算</t>
    </r>
  </si>
  <si>
    <t>【台帳】③顧客カルテ</t>
  </si>
  <si>
    <r>
      <rPr>
        <sz val="9"/>
        <color rgb="FF1A1A2E"/>
        <rFont val="Noto Sans CJK SC"/>
        <family val="2"/>
      </rPr>
      <t>顧客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を入力すると基本情報と購買履歴を表示</t>
    </r>
  </si>
  <si>
    <r>
      <rPr>
        <sz val="9"/>
        <color rgb="FF555555"/>
        <rFont val="Arial"/>
        <family val="2"/>
      </rPr>
      <t>B3</t>
    </r>
    <r>
      <rPr>
        <sz val="9"/>
        <color rgb="FF555555"/>
        <rFont val="Noto Sans CJK SC"/>
        <family val="2"/>
      </rPr>
      <t>セルに顧客</t>
    </r>
    <r>
      <rPr>
        <sz val="9"/>
        <color rgb="FF555555"/>
        <rFont val="Arial"/>
        <family val="2"/>
      </rPr>
      <t>ID</t>
    </r>
    <r>
      <rPr>
        <sz val="9"/>
        <color rgb="FF555555"/>
        <rFont val="Noto Sans CJK SC"/>
        <family val="2"/>
      </rPr>
      <t>を入力するだけ。累計購買金額も自動表示</t>
    </r>
  </si>
  <si>
    <t>【台帳】④売上分析</t>
  </si>
  <si>
    <t>月別売上グラフと顧客別売上を確認</t>
  </si>
  <si>
    <t>②購買記録の入力が完了すると自動更新</t>
  </si>
  <si>
    <t>【会員】①会員マスタ</t>
  </si>
  <si>
    <t>会員情報・プラン・ステータスを管理</t>
  </si>
  <si>
    <r>
      <rPr>
        <sz val="9"/>
        <color rgb="FF555555"/>
        <rFont val="Noto Sans CJK SC"/>
        <family val="2"/>
      </rPr>
      <t>ステータスで在籍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休会</t>
    </r>
    <r>
      <rPr>
        <sz val="9"/>
        <color rgb="FF555555"/>
        <rFont val="Arial"/>
        <family val="2"/>
      </rPr>
      <t>/</t>
    </r>
    <r>
      <rPr>
        <sz val="9"/>
        <color rgb="FF555555"/>
        <rFont val="Noto Sans CJK SC"/>
        <family val="2"/>
      </rPr>
      <t>退会を管理。退会者は自動で赤く色分け</t>
    </r>
  </si>
  <si>
    <r>
      <rPr>
        <b/>
        <sz val="10"/>
        <color rgb="FF1C559A"/>
        <rFont val="Noto Sans CJK SC"/>
        <family val="2"/>
      </rPr>
      <t>【会員】②</t>
    </r>
    <r>
      <rPr>
        <b/>
        <sz val="10"/>
        <color rgb="FF1C559A"/>
        <rFont val="Arial"/>
        <family val="2"/>
      </rPr>
      <t>CSV</t>
    </r>
    <r>
      <rPr>
        <b/>
        <sz val="10"/>
        <color rgb="FF1C559A"/>
        <rFont val="Noto Sans CJK SC"/>
        <family val="2"/>
      </rPr>
      <t>ペースト</t>
    </r>
  </si>
  <si>
    <r>
      <rPr>
        <sz val="9"/>
        <color rgb="FF1A1A2E"/>
        <rFont val="Noto Sans CJK SC"/>
        <family val="2"/>
      </rPr>
      <t>金融機関の入金</t>
    </r>
    <r>
      <rPr>
        <sz val="9"/>
        <color rgb="FF1A1A2E"/>
        <rFont val="Arial"/>
        <family val="2"/>
      </rPr>
      <t>CSV</t>
    </r>
    <r>
      <rPr>
        <sz val="9"/>
        <color rgb="FF1A1A2E"/>
        <rFont val="Noto Sans CJK SC"/>
        <family val="2"/>
      </rPr>
      <t>データを貼る場所</t>
    </r>
  </si>
  <si>
    <t>日付・摘要（振込人名）・金額を貼り付け。③で自動照合される</t>
  </si>
  <si>
    <t>【会員】③引落し管理</t>
  </si>
  <si>
    <t>会員ごとの入金状況を照合・確認</t>
  </si>
  <si>
    <r>
      <rPr>
        <sz val="9"/>
        <color rgb="FF555555"/>
        <rFont val="Noto Sans CJK SC"/>
        <family val="2"/>
      </rPr>
      <t>対象月（</t>
    </r>
    <r>
      <rPr>
        <sz val="9"/>
        <color rgb="FF555555"/>
        <rFont val="Arial"/>
        <family val="2"/>
      </rPr>
      <t>B3</t>
    </r>
    <r>
      <rPr>
        <sz val="9"/>
        <color rgb="FF555555"/>
        <rFont val="Noto Sans CJK SC"/>
        <family val="2"/>
      </rPr>
      <t>）を入力すると②</t>
    </r>
    <r>
      <rPr>
        <sz val="9"/>
        <color rgb="FF555555"/>
        <rFont val="Arial"/>
        <family val="2"/>
      </rPr>
      <t>CSV</t>
    </r>
    <r>
      <rPr>
        <sz val="9"/>
        <color rgb="FF555555"/>
        <rFont val="Noto Sans CJK SC"/>
        <family val="2"/>
      </rPr>
      <t>と自動照合。状態が自動判定される</t>
    </r>
  </si>
  <si>
    <t>【会員】③プランマスタ</t>
  </si>
  <si>
    <t>プラン名と月額を登録</t>
  </si>
  <si>
    <t>プラン名を登録すると①会員マスタのドロップダウンで選択可能</t>
  </si>
  <si>
    <t>【会員】④売上分析</t>
  </si>
  <si>
    <t>月別会費収入とプラン別構成を確認</t>
  </si>
  <si>
    <t>③引落し管理の「済」データから自動集計。円グラフで構成比を表示</t>
  </si>
  <si>
    <t>🔗  データの流れ（シート間のつながり）</t>
  </si>
  <si>
    <t>入力元シート</t>
  </si>
  <si>
    <t>参照先シート</t>
  </si>
  <si>
    <t>つながりの内容</t>
  </si>
  <si>
    <r>
      <rPr>
        <sz val="9"/>
        <color rgb="FF1A1A2E"/>
        <rFont val="Noto Sans CJK SC"/>
        <family val="2"/>
      </rPr>
      <t>顧客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をもとに氏名を自動参照</t>
    </r>
  </si>
  <si>
    <r>
      <rPr>
        <sz val="9"/>
        <color rgb="FF1A1A2E"/>
        <rFont val="Noto Sans CJK SC"/>
        <family val="2"/>
      </rPr>
      <t>顧客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で絞り込んで購買履歴・累計金額を表示</t>
    </r>
  </si>
  <si>
    <t>日付と金額から月別売上を自動集計</t>
  </si>
  <si>
    <t>プラン名のドロップダウンと月額の自動参照</t>
  </si>
  <si>
    <r>
      <rPr>
        <sz val="9"/>
        <color rgb="FF1A1A2E"/>
        <rFont val="Noto Sans CJK SC"/>
        <family val="2"/>
      </rPr>
      <t>会員</t>
    </r>
    <r>
      <rPr>
        <sz val="9"/>
        <color rgb="FF1A1A2E"/>
        <rFont val="Arial"/>
        <family val="2"/>
      </rPr>
      <t>ID</t>
    </r>
    <r>
      <rPr>
        <sz val="9"/>
        <color rgb="FF1A1A2E"/>
        <rFont val="Noto Sans CJK SC"/>
        <family val="2"/>
      </rPr>
      <t>で氏名・プラン・請求金額を自動参照</t>
    </r>
  </si>
  <si>
    <r>
      <rPr>
        <b/>
        <sz val="9"/>
        <color rgb="FF1C559A"/>
        <rFont val="Noto Sans CJK SC"/>
        <family val="2"/>
      </rPr>
      <t>【会員】②</t>
    </r>
    <r>
      <rPr>
        <b/>
        <sz val="9"/>
        <color rgb="FF1C559A"/>
        <rFont val="Arial"/>
        <family val="2"/>
      </rPr>
      <t>CSV</t>
    </r>
    <r>
      <rPr>
        <b/>
        <sz val="9"/>
        <color rgb="FF1C559A"/>
        <rFont val="Noto Sans CJK SC"/>
        <family val="2"/>
      </rPr>
      <t>ペースト</t>
    </r>
  </si>
  <si>
    <t>摘要キーワードと対象月で入金データを自動照合</t>
  </si>
  <si>
    <t>「済」フラグのデータから月別会費収入を集計</t>
  </si>
  <si>
    <t>💡 ヒント：青字のセルは自動計算セルです。直接入力すると数式が消えるためご注意ください。</t>
  </si>
  <si>
    <t>💡 ヒント：グレーの行と白の行が交互になっています。行を追加する場合は最終行の下に追加してください。</t>
  </si>
  <si>
    <t>【台帳型】① 顧客マスタ　― 顧客の基本情報を登録します</t>
  </si>
  <si>
    <t>※ 顧客IDは変更しないでください。購買記録シートと紐づいています。</t>
  </si>
  <si>
    <t>顧客ID</t>
  </si>
  <si>
    <t>氏名</t>
  </si>
  <si>
    <t>フリガナ</t>
  </si>
  <si>
    <t>電話番号</t>
  </si>
  <si>
    <t>メールアドレス</t>
  </si>
  <si>
    <t>住所</t>
  </si>
  <si>
    <t>登録日</t>
  </si>
  <si>
    <t>備考</t>
  </si>
  <si>
    <t>C001</t>
  </si>
  <si>
    <t>山田太郎</t>
  </si>
  <si>
    <t>ヤマダタロウ</t>
  </si>
  <si>
    <t>090-1234-5678</t>
  </si>
  <si>
    <t>yamada@example.com</t>
  </si>
  <si>
    <t>東京都渋谷区〇〇1-2-3</t>
  </si>
  <si>
    <t>C002</t>
  </si>
  <si>
    <t>鈴木花子</t>
  </si>
  <si>
    <t>スズキハナコ</t>
  </si>
  <si>
    <t>080-9876-5432</t>
  </si>
  <si>
    <t>suzuki@example.com</t>
  </si>
  <si>
    <t>神奈川県横浜市△△4-5-6</t>
  </si>
  <si>
    <t>常連</t>
  </si>
  <si>
    <t>【台帳型】② 購買記録　― 日々の売上と顧客を紐づけて記録します</t>
  </si>
  <si>
    <t>※ 顧客IDを入力すると顧客名が自動表示されます。</t>
  </si>
  <si>
    <t>記録ID</t>
  </si>
  <si>
    <t>日付</t>
  </si>
  <si>
    <t>顧客名（自動）</t>
  </si>
  <si>
    <t>商品名・サービス</t>
  </si>
  <si>
    <t>数量</t>
  </si>
  <si>
    <t>単価（円）</t>
  </si>
  <si>
    <t>金額（円）</t>
  </si>
  <si>
    <t>担当者</t>
  </si>
  <si>
    <t>R001</t>
  </si>
  <si>
    <t>カット＋カラー</t>
  </si>
  <si>
    <t>田中</t>
  </si>
  <si>
    <t>R002</t>
  </si>
  <si>
    <t>カット</t>
  </si>
  <si>
    <t>佐藤</t>
  </si>
  <si>
    <t>【台帳型】③ 顧客カルテ　― 顧客IDを入力すると購買履歴が表示されます</t>
  </si>
  <si>
    <r>
      <rPr>
        <i/>
        <sz val="9"/>
        <color rgb="FF888888"/>
        <rFont val="Arial"/>
        <family val="2"/>
      </rPr>
      <t>※ B3</t>
    </r>
    <r>
      <rPr>
        <i/>
        <sz val="9"/>
        <color rgb="FF888888"/>
        <rFont val="Noto Sans CJK SC"/>
        <family val="2"/>
      </rPr>
      <t>セルに顧客</t>
    </r>
    <r>
      <rPr>
        <i/>
        <sz val="9"/>
        <color rgb="FF888888"/>
        <rFont val="Arial"/>
        <family val="2"/>
      </rPr>
      <t>ID</t>
    </r>
    <r>
      <rPr>
        <i/>
        <sz val="9"/>
        <color rgb="FF888888"/>
        <rFont val="Noto Sans CJK SC"/>
        <family val="2"/>
      </rPr>
      <t>を入力してください。</t>
    </r>
  </si>
  <si>
    <t>購買履歴</t>
  </si>
  <si>
    <t>合計購買金額</t>
  </si>
  <si>
    <t>【台帳型】④ 売上分析　― 月別・顧客別の売上を自動集計します</t>
  </si>
  <si>
    <t>※ ②購買記録シートに入力した内容が自動反映されます。</t>
  </si>
  <si>
    <t>月別売上</t>
  </si>
  <si>
    <t>月</t>
  </si>
  <si>
    <t>売上合計（円）</t>
  </si>
  <si>
    <t>件数</t>
  </si>
  <si>
    <r>
      <rPr>
        <b/>
        <sz val="10"/>
        <color rgb="FF1A1A2E"/>
        <rFont val="Arial"/>
        <family val="2"/>
      </rPr>
      <t>1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</si>
  <si>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2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</si>
  <si>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3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</si>
  <si>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4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</si>
  <si>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5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</si>
  <si>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6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</si>
  <si>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7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</si>
  <si>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8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</si>
  <si>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9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</si>
  <si>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10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</si>
  <si>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11</t>
    </r>
    <r>
      <rPr>
        <b/>
        <sz val="10"/>
        <color rgb="FF1A1A2E"/>
        <rFont val="Noto Sans CJK SC"/>
        <family val="2"/>
      </rPr>
      <t>月</t>
    </r>
  </si>
  <si>
    <r>
      <rPr>
        <b/>
        <sz val="10"/>
        <color rgb="FF1A1A2E"/>
        <rFont val="Arial"/>
        <family val="2"/>
      </rPr>
      <t>12</t>
    </r>
    <r>
      <rPr>
        <b/>
        <sz val="10"/>
        <color rgb="FF1A1A2E"/>
        <rFont val="Noto Sans CJK SC"/>
        <family val="2"/>
      </rPr>
      <t>月</t>
    </r>
  </si>
  <si>
    <t>年間合計</t>
  </si>
  <si>
    <t>顧客別売上TOP10</t>
  </si>
  <si>
    <t>顧客名</t>
  </si>
  <si>
    <t>購買金額合計（円）</t>
  </si>
  <si>
    <t>購買件数</t>
  </si>
  <si>
    <t>※ ②購買記録シートをコピーし、ピボットテーブルで顧客ID別集計をお試しください</t>
  </si>
  <si>
    <t>【会員型】① 会員マスタ　― 会員情報と契約内容を登録します</t>
  </si>
  <si>
    <t>※ ステータス列でメンバーの状態を管理します。退会者は自動で色が変わります。</t>
  </si>
  <si>
    <t>会員ID</t>
  </si>
  <si>
    <t>プラン</t>
  </si>
  <si>
    <t>月額（円）</t>
  </si>
  <si>
    <t>開始日</t>
  </si>
  <si>
    <t>ステータス</t>
  </si>
  <si>
    <t>M001</t>
  </si>
  <si>
    <t>田中一郎</t>
  </si>
  <si>
    <t>タナカイチロウ</t>
  </si>
  <si>
    <t>090-1111-2222</t>
  </si>
  <si>
    <t>tanaka@example.com</t>
  </si>
  <si>
    <t>スタンダード</t>
  </si>
  <si>
    <t>在籍</t>
  </si>
  <si>
    <t>M002</t>
  </si>
  <si>
    <t>山本二郎</t>
  </si>
  <si>
    <t>ヤマモトジロウ</t>
  </si>
  <si>
    <t>080-3333-4444</t>
  </si>
  <si>
    <t>yamamoto@example.com</t>
  </si>
  <si>
    <t>プレミアム</t>
  </si>
  <si>
    <t>休会</t>
  </si>
  <si>
    <t>育児休暇中</t>
  </si>
  <si>
    <t>【会員型】② CSVペースト　― 金融機関の入金データをここに貼り付けてください</t>
  </si>
  <si>
    <t>※ 列の順序：日付 → 摘要（会社名・氏名）→ 金額（プラス値） の順に貼ってください　③引落し管理シートで会員情報と自動照合されます</t>
  </si>
  <si>
    <t>摘要（振込人名など）</t>
  </si>
  <si>
    <t>残高（円）</t>
  </si>
  <si>
    <t>タナカ イチロウ</t>
  </si>
  <si>
    <t>ヤマモト ジロウ</t>
  </si>
  <si>
    <t>サトウ サブロウ</t>
  </si>
  <si>
    <t>【会員型】③ 引落し管理　― 会員マスタ×CSVデータを照合して入金状況を確認します</t>
  </si>
  <si>
    <t>※ 対象月・会員IDを入力してください。②CSVペーストに貼ったデータと照合し「状態」列に自動判定されます</t>
  </si>
  <si>
    <t>対象月</t>
  </si>
  <si>
    <t>氏名（自動）</t>
  </si>
  <si>
    <t>プラン（自動）</t>
  </si>
  <si>
    <t>請求金額（自動）</t>
  </si>
  <si>
    <t>摘要キーワード</t>
  </si>
  <si>
    <t>照合結果（自動）</t>
  </si>
  <si>
    <t>入金金額（自動）</t>
  </si>
  <si>
    <t>差額（自動）</t>
  </si>
  <si>
    <t>状態</t>
  </si>
  <si>
    <t>【会員型】③ プランマスタ　― プラン名と月額を登録します</t>
  </si>
  <si>
    <t>※ プラン名は①会員マスタのプラン列でドロップダウン選択できます。</t>
  </si>
  <si>
    <t>プラン名</t>
  </si>
  <si>
    <t>内容・特典</t>
  </si>
  <si>
    <t>ライト</t>
  </si>
  <si>
    <t>月2回利用可・基本サービス</t>
  </si>
  <si>
    <t>月4回利用可・基本サービス＋優先予約</t>
  </si>
  <si>
    <t>無制限利用・全サービス＋専任担当</t>
  </si>
  <si>
    <t>【会員型】④ 売上分析　― 月別会費収入とプラン別構成を確認できます</t>
  </si>
  <si>
    <t>※ ②引落し管理シートの「済」データから自動集計されます。</t>
  </si>
  <si>
    <t>月別会費収入</t>
  </si>
  <si>
    <t>収入合計（円）</t>
  </si>
  <si>
    <t>会員数</t>
  </si>
  <si>
    <t>プラン別会員構成</t>
  </si>
  <si>
    <t>構成比</t>
  </si>
  <si>
    <r>
      <rPr>
        <i/>
        <sz val="10"/>
        <color rgb="FF1C559A"/>
        <rFont val="ＭＳ ゴシック"/>
        <family val="3"/>
        <charset val="128"/>
      </rPr>
      <t>台帳型と会員型の</t>
    </r>
    <r>
      <rPr>
        <i/>
        <sz val="10"/>
        <color rgb="FF1C559A"/>
        <rFont val="Arial"/>
        <family val="2"/>
      </rPr>
      <t>2</t>
    </r>
    <r>
      <rPr>
        <i/>
        <sz val="10"/>
        <color rgb="FF1C559A"/>
        <rFont val="ＭＳ ゴシック"/>
        <family val="3"/>
        <charset val="128"/>
      </rPr>
      <t>パターンを収録しています。不要な方は削除してご使用ください</t>
    </r>
    <rPh sb="22" eb="24">
      <t>フヨウ</t>
    </rPh>
    <rPh sb="25" eb="26">
      <t>ホウ</t>
    </rPh>
    <phoneticPr fontId="37"/>
  </si>
  <si>
    <r>
      <t>台帳型と会員型の</t>
    </r>
    <r>
      <rPr>
        <i/>
        <sz val="10"/>
        <color rgb="FF1C559A"/>
        <rFont val="Arial"/>
        <family val="2"/>
      </rPr>
      <t>2</t>
    </r>
    <r>
      <rPr>
        <i/>
        <sz val="10"/>
        <color rgb="FF1C559A"/>
        <rFont val="ＭＳ ゴシック"/>
        <family val="3"/>
        <charset val="128"/>
      </rPr>
      <t>パターンを収録しています。不要な方は削除してご使用ください</t>
    </r>
    <rPh sb="22" eb="24">
      <t>フヨウ</t>
    </rPh>
    <rPh sb="25" eb="26">
      <t>ホウ</t>
    </rPh>
    <phoneticPr fontId="37"/>
  </si>
  <si>
    <t>← ここに対象月を入力（例：2026/06）すると照合基準月が変わります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</si>
</sst>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/mm"/>
    <numFmt numFmtId="178" formatCode="#,##0;[Red]\-#,##0;\-"/>
  </numFmts>
  <fonts count="40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</font>
    <font>
      <i/>
      <sz val="10"/>
      <color rgb="FF1C559A"/>
      <name val="Noto Sans CJK SC"/>
      <family val="2"/>
    </font>
    <font>
      <i/>
      <sz val="10"/>
      <color rgb="FF1C559A"/>
      <name val="Arial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b/>
      <sz val="10"/>
      <color rgb="FF1C559A"/>
      <name val="Noto Sans CJK SC"/>
      <family val="2"/>
    </font>
    <font>
      <sz val="9"/>
      <color rgb="FF1A1A2E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sz val="9"/>
      <color rgb="FF1A1A2E"/>
      <name val="Arial"/>
      <family val="2"/>
    </font>
    <font>
      <b/>
      <sz val="10"/>
      <color rgb="FF1C559A"/>
      <name val="Arial"/>
      <family val="2"/>
    </font>
    <font>
      <b/>
      <sz val="9"/>
      <color rgb="FF1C559A"/>
      <name val="Noto Sans CJK SC"/>
      <family val="2"/>
    </font>
    <font>
      <b/>
      <sz val="9"/>
      <color rgb="FF1C559A"/>
      <name val="Arial"/>
      <family val="2"/>
    </font>
    <font>
      <i/>
      <sz val="9"/>
      <color rgb="FFE06930"/>
      <name val="Noto Sans CJK SC"/>
      <family val="2"/>
    </font>
    <font>
      <i/>
      <sz val="9"/>
      <color rgb="FF888888"/>
      <name val="Noto Sans CJK SC"/>
      <family val="2"/>
    </font>
    <font>
      <b/>
      <sz val="13"/>
      <color rgb="FF168788"/>
      <name val="Noto Sans CJK SC"/>
      <family val="2"/>
      <charset val="1"/>
    </font>
    <font>
      <i/>
      <sz val="9"/>
      <color rgb="FF888888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i/>
      <sz val="10"/>
      <color rgb="FFAAAAAA"/>
      <name val="Arial"/>
      <family val="2"/>
    </font>
    <font>
      <i/>
      <sz val="10"/>
      <color rgb="FFAAAAAA"/>
      <name val="Noto Sans CJK SC"/>
      <family val="2"/>
      <charset val="1"/>
    </font>
    <font>
      <sz val="10"/>
      <color rgb="FF1A1A2E"/>
      <name val="Arial"/>
      <family val="2"/>
    </font>
    <font>
      <sz val="10"/>
      <color rgb="FF0070C0"/>
      <name val="Arial"/>
      <family val="2"/>
    </font>
    <font>
      <i/>
      <sz val="9"/>
      <color rgb="FF888888"/>
      <name val="Arial"/>
      <family val="2"/>
    </font>
    <font>
      <b/>
      <sz val="11"/>
      <color rgb="FFFFFFFF"/>
      <name val="Noto Sans CJK SC"/>
      <family val="2"/>
      <charset val="1"/>
    </font>
    <font>
      <b/>
      <sz val="14"/>
      <color rgb="FF168788"/>
      <name val="Arial"/>
      <family val="2"/>
    </font>
    <font>
      <b/>
      <sz val="9"/>
      <color rgb="FFFFFFFF"/>
      <name val="Noto Sans CJK SC"/>
      <family val="2"/>
      <charset val="1"/>
    </font>
    <font>
      <sz val="10"/>
      <color rgb="FF1A1A2E"/>
      <name val="Noto Sans CJK SC"/>
      <family val="2"/>
      <charset val="1"/>
    </font>
    <font>
      <b/>
      <sz val="11"/>
      <color rgb="FF168788"/>
      <name val="Noto Sans CJK SC"/>
      <family val="2"/>
      <charset val="1"/>
    </font>
    <font>
      <i/>
      <sz val="9"/>
      <color rgb="FFE06930"/>
      <name val="Noto Sans CJK SC"/>
      <family val="2"/>
      <charset val="1"/>
    </font>
    <font>
      <b/>
      <sz val="12"/>
      <color rgb="FF168788"/>
      <name val="Arial"/>
      <family val="2"/>
    </font>
    <font>
      <b/>
      <sz val="10"/>
      <color rgb="FF1A1A2E"/>
      <name val="Arial"/>
      <family val="2"/>
    </font>
    <font>
      <b/>
      <sz val="10"/>
      <color rgb="FF1A1A2E"/>
      <name val="Noto Sans CJK SC"/>
      <family val="2"/>
    </font>
    <font>
      <b/>
      <sz val="11"/>
      <color rgb="FFFFFFFF"/>
      <name val="Arial"/>
      <family val="2"/>
    </font>
    <font>
      <b/>
      <sz val="13"/>
      <color rgb="FF1C559A"/>
      <name val="Noto Sans CJK SC"/>
      <family val="2"/>
      <charset val="1"/>
    </font>
    <font>
      <b/>
      <sz val="12"/>
      <color rgb="FF1C559A"/>
      <name val="Arial"/>
      <family val="2"/>
    </font>
    <font>
      <b/>
      <sz val="11"/>
      <color rgb="FF1C559A"/>
      <name val="Noto Sans CJK SC"/>
      <family val="2"/>
      <charset val="1"/>
    </font>
    <font>
      <sz val="6"/>
      <name val="ＭＳ Ｐゴシック"/>
      <family val="3"/>
      <charset val="128"/>
    </font>
    <font>
      <i/>
      <sz val="10"/>
      <color rgb="FF1C559A"/>
      <name val="ＭＳ ゴシック"/>
      <family val="3"/>
      <charset val="128"/>
    </font>
    <font>
      <i/>
      <sz val="10"/>
      <color rgb="FF1C559A"/>
      <name val="Noto Sans CJK S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C559A"/>
        <bgColor rgb="FF3A6590"/>
      </patternFill>
    </fill>
    <fill>
      <patternFill patternType="solid">
        <fgColor rgb="FF3A6590"/>
        <bgColor rgb="FF1C559A"/>
      </patternFill>
    </fill>
    <fill>
      <patternFill patternType="solid">
        <fgColor rgb="FFD6E4F7"/>
        <bgColor rgb="FFDDEBF7"/>
      </patternFill>
    </fill>
    <fill>
      <patternFill patternType="solid">
        <fgColor rgb="FFFFFFFF"/>
        <bgColor rgb="FFF9F9F9"/>
      </patternFill>
    </fill>
    <fill>
      <patternFill patternType="solid">
        <fgColor rgb="FF168788"/>
        <bgColor rgb="FF008080"/>
      </patternFill>
    </fill>
    <fill>
      <patternFill patternType="solid">
        <fgColor rgb="FFF5F5F5"/>
        <bgColor rgb="FFF9F9F9"/>
      </patternFill>
    </fill>
    <fill>
      <patternFill patternType="solid">
        <fgColor rgb="FFE1F5EE"/>
        <bgColor rgb="FFDDEBF7"/>
      </patternFill>
    </fill>
  </fills>
  <borders count="8">
    <border>
      <left/>
      <right/>
      <top/>
      <bottom/>
      <diagonal/>
    </border>
    <border>
      <left style="medium">
        <color rgb="FF1C559A"/>
      </left>
      <right/>
      <top style="medium">
        <color rgb="FF1C559A"/>
      </top>
      <bottom style="medium">
        <color rgb="FF1C559A"/>
      </bottom>
      <diagonal/>
    </border>
    <border>
      <left style="thin">
        <color rgb="FF1C559A"/>
      </left>
      <right/>
      <top style="thin">
        <color rgb="FF1C559A"/>
      </top>
      <bottom style="thin">
        <color rgb="FF1C559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68788"/>
      </left>
      <right style="thin">
        <color rgb="FF168788"/>
      </right>
      <top style="thin">
        <color rgb="FF168788"/>
      </top>
      <bottom style="thin">
        <color rgb="FF168788"/>
      </bottom>
      <diagonal/>
    </border>
    <border>
      <left/>
      <right/>
      <top/>
      <bottom style="thin">
        <color rgb="FFDDDDDD"/>
      </bottom>
      <diagonal/>
    </border>
    <border>
      <left style="thin">
        <color rgb="FF168788"/>
      </left>
      <right/>
      <top style="thin">
        <color rgb="FF168788"/>
      </top>
      <bottom style="thin">
        <color rgb="FF168788"/>
      </bottom>
      <diagonal/>
    </border>
    <border>
      <left style="thin">
        <color rgb="FF1C559A"/>
      </left>
      <right style="thin">
        <color rgb="FF1C559A"/>
      </right>
      <top style="thin">
        <color rgb="FF1C559A"/>
      </top>
      <bottom style="thin">
        <color rgb="FF1C559A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9" fillId="0" borderId="0" xfId="0" applyFont="1" applyAlignment="1">
      <alignment horizontal="left" vertical="center"/>
    </xf>
    <xf numFmtId="0" fontId="34" fillId="0" borderId="0" xfId="0" applyFont="1"/>
    <xf numFmtId="3" fontId="30" fillId="0" borderId="6" xfId="0" applyNumberFormat="1" applyFont="1" applyBorder="1" applyAlignment="1">
      <alignment horizontal="right" vertical="center"/>
    </xf>
    <xf numFmtId="0" fontId="29" fillId="0" borderId="0" xfId="0" applyFont="1"/>
    <xf numFmtId="176" fontId="21" fillId="0" borderId="5" xfId="0" applyNumberFormat="1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23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4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left" vertical="center"/>
    </xf>
    <xf numFmtId="0" fontId="20" fillId="5" borderId="5" xfId="0" applyFont="1" applyFill="1" applyBorder="1" applyAlignment="1">
      <alignment horizontal="left" vertical="center"/>
    </xf>
    <xf numFmtId="176" fontId="19" fillId="5" borderId="5" xfId="0" applyNumberFormat="1" applyFont="1" applyFill="1" applyBorder="1" applyAlignment="1">
      <alignment horizontal="left" vertical="center"/>
    </xf>
    <xf numFmtId="0" fontId="21" fillId="7" borderId="5" xfId="0" applyFont="1" applyFill="1" applyBorder="1" applyAlignment="1">
      <alignment horizontal="left" vertical="center"/>
    </xf>
    <xf numFmtId="176" fontId="21" fillId="7" borderId="5" xfId="0" applyNumberFormat="1" applyFont="1" applyFill="1" applyBorder="1" applyAlignment="1">
      <alignment horizontal="left" vertical="center"/>
    </xf>
    <xf numFmtId="0" fontId="21" fillId="5" borderId="5" xfId="0" applyFont="1" applyFill="1" applyBorder="1" applyAlignment="1">
      <alignment horizontal="left" vertical="center"/>
    </xf>
    <xf numFmtId="176" fontId="21" fillId="5" borderId="5" xfId="0" applyNumberFormat="1" applyFont="1" applyFill="1" applyBorder="1" applyAlignment="1">
      <alignment horizontal="left" vertical="center"/>
    </xf>
    <xf numFmtId="3" fontId="19" fillId="5" borderId="5" xfId="0" applyNumberFormat="1" applyFont="1" applyFill="1" applyBorder="1" applyAlignment="1">
      <alignment horizontal="left" vertical="center"/>
    </xf>
    <xf numFmtId="0" fontId="22" fillId="7" borderId="5" xfId="0" applyFont="1" applyFill="1" applyBorder="1" applyAlignment="1">
      <alignment horizontal="left" vertical="center"/>
    </xf>
    <xf numFmtId="3" fontId="21" fillId="7" borderId="5" xfId="0" applyNumberFormat="1" applyFont="1" applyFill="1" applyBorder="1" applyAlignment="1">
      <alignment horizontal="right" vertical="center"/>
    </xf>
    <xf numFmtId="3" fontId="22" fillId="7" borderId="5" xfId="0" applyNumberFormat="1" applyFont="1" applyFill="1" applyBorder="1" applyAlignment="1">
      <alignment horizontal="right" vertical="center"/>
    </xf>
    <xf numFmtId="0" fontId="22" fillId="5" borderId="5" xfId="0" applyFont="1" applyFill="1" applyBorder="1" applyAlignment="1">
      <alignment horizontal="left" vertical="center"/>
    </xf>
    <xf numFmtId="3" fontId="21" fillId="5" borderId="5" xfId="0" applyNumberFormat="1" applyFont="1" applyFill="1" applyBorder="1" applyAlignment="1">
      <alignment horizontal="right" vertical="center"/>
    </xf>
    <xf numFmtId="3" fontId="22" fillId="5" borderId="5" xfId="0" applyNumberFormat="1" applyFont="1" applyFill="1" applyBorder="1" applyAlignment="1">
      <alignment horizontal="right" vertical="center"/>
    </xf>
    <xf numFmtId="0" fontId="24" fillId="6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8" fillId="0" borderId="0" xfId="0" applyFont="1"/>
    <xf numFmtId="0" fontId="18" fillId="6" borderId="4" xfId="0" applyFont="1" applyFill="1" applyBorder="1" applyAlignment="1">
      <alignment horizontal="center" vertical="center"/>
    </xf>
    <xf numFmtId="0" fontId="31" fillId="8" borderId="5" xfId="0" applyFont="1" applyFill="1" applyBorder="1" applyAlignment="1">
      <alignment horizontal="center" vertical="center"/>
    </xf>
    <xf numFmtId="3" fontId="22" fillId="8" borderId="5" xfId="0" applyNumberFormat="1" applyFont="1" applyFill="1" applyBorder="1" applyAlignment="1">
      <alignment horizontal="right" vertical="center"/>
    </xf>
    <xf numFmtId="0" fontId="22" fillId="8" borderId="5" xfId="0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3" fontId="33" fillId="6" borderId="4" xfId="0" applyNumberFormat="1" applyFont="1" applyFill="1" applyBorder="1" applyAlignment="1">
      <alignment horizontal="right" vertical="center"/>
    </xf>
    <xf numFmtId="0" fontId="24" fillId="2" borderId="7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3" fontId="21" fillId="0" borderId="5" xfId="0" applyNumberFormat="1" applyFont="1" applyBorder="1" applyAlignment="1">
      <alignment horizontal="right" vertical="center"/>
    </xf>
    <xf numFmtId="0" fontId="21" fillId="0" borderId="5" xfId="0" applyFont="1" applyBorder="1" applyAlignment="1">
      <alignment horizontal="right" vertical="center"/>
    </xf>
    <xf numFmtId="0" fontId="18" fillId="2" borderId="7" xfId="0" applyFont="1" applyFill="1" applyBorder="1" applyAlignment="1">
      <alignment horizontal="center" vertical="center" wrapText="1"/>
    </xf>
    <xf numFmtId="176" fontId="19" fillId="0" borderId="5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3" fontId="19" fillId="0" borderId="5" xfId="0" applyNumberFormat="1" applyFont="1" applyBorder="1" applyAlignment="1">
      <alignment horizontal="right" vertical="center"/>
    </xf>
    <xf numFmtId="176" fontId="21" fillId="0" borderId="5" xfId="0" applyNumberFormat="1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77" fontId="35" fillId="0" borderId="7" xfId="0" applyNumberFormat="1" applyFont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178" fontId="22" fillId="5" borderId="5" xfId="0" applyNumberFormat="1" applyFont="1" applyFill="1" applyBorder="1" applyAlignment="1">
      <alignment horizontal="right"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5" xfId="0" applyFont="1" applyFill="1" applyBorder="1"/>
    <xf numFmtId="0" fontId="31" fillId="4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left" vertical="center"/>
    </xf>
    <xf numFmtId="3" fontId="22" fillId="4" borderId="5" xfId="0" applyNumberFormat="1" applyFont="1" applyFill="1" applyBorder="1" applyAlignment="1">
      <alignment horizontal="right" vertical="center"/>
    </xf>
    <xf numFmtId="0" fontId="21" fillId="4" borderId="5" xfId="0" applyFont="1" applyFill="1" applyBorder="1" applyAlignment="1">
      <alignment horizontal="left" vertical="center"/>
    </xf>
    <xf numFmtId="3" fontId="21" fillId="4" borderId="5" xfId="0" applyNumberFormat="1" applyFont="1" applyFill="1" applyBorder="1" applyAlignment="1">
      <alignment horizontal="right" vertical="center"/>
    </xf>
    <xf numFmtId="178" fontId="22" fillId="4" borderId="5" xfId="0" applyNumberFormat="1" applyFont="1" applyFill="1" applyBorder="1" applyAlignment="1">
      <alignment horizontal="right"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5" xfId="0" applyFont="1" applyFill="1" applyBorder="1"/>
    <xf numFmtId="3" fontId="19" fillId="5" borderId="5" xfId="0" applyNumberFormat="1" applyFont="1" applyFill="1" applyBorder="1" applyAlignment="1">
      <alignment horizontal="right" vertical="center"/>
    </xf>
    <xf numFmtId="0" fontId="36" fillId="0" borderId="0" xfId="0" applyFont="1"/>
    <xf numFmtId="0" fontId="22" fillId="4" borderId="5" xfId="0" applyFont="1" applyFill="1" applyBorder="1" applyAlignment="1">
      <alignment horizontal="center" vertical="center"/>
    </xf>
    <xf numFmtId="3" fontId="33" fillId="2" borderId="7" xfId="0" applyNumberFormat="1" applyFont="1" applyFill="1" applyBorder="1" applyAlignment="1">
      <alignment horizontal="right" vertical="center"/>
    </xf>
    <xf numFmtId="0" fontId="27" fillId="0" borderId="5" xfId="0" applyFont="1" applyBorder="1"/>
    <xf numFmtId="0" fontId="22" fillId="0" borderId="5" xfId="0" applyFont="1" applyBorder="1" applyAlignment="1">
      <alignment horizontal="center" vertical="center"/>
    </xf>
    <xf numFmtId="9" fontId="21" fillId="0" borderId="5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6" borderId="4" xfId="0" applyFont="1" applyFill="1" applyBorder="1" applyAlignment="1">
      <alignment horizontal="center" vertical="center" wrapText="1"/>
    </xf>
  </cellXfs>
  <cellStyles count="1">
    <cellStyle name="標準" xfId="0" builtinId="0"/>
  </cellStyles>
  <dxfs count="8">
    <dxf>
      <font>
        <b/>
        <sz val="10"/>
        <color rgb="FFE06930"/>
        <name val="Arial"/>
        <charset val="1"/>
      </font>
      <fill>
        <patternFill>
          <bgColor rgb="FFFCE4D6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DDEBF7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9C0006"/>
      <rgbColor rgb="FF276221"/>
      <rgbColor rgb="FF000080"/>
      <rgbColor rgb="FF808000"/>
      <rgbColor rgb="FF800080"/>
      <rgbColor rgb="FF168788"/>
      <rgbColor rgb="FFAAAAAA"/>
      <rgbColor rgb="FF878787"/>
      <rgbColor rgb="FF9999FF"/>
      <rgbColor rgb="FFC0504D"/>
      <rgbColor rgb="FFF9F9F9"/>
      <rgbColor rgb="FFE1F5EE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D6E4F7"/>
      <rgbColor rgb="FFFCE4D6"/>
      <rgbColor rgb="FFDDDDDD"/>
      <rgbColor rgb="FFFFC7CE"/>
      <rgbColor rgb="FF4F81BD"/>
      <rgbColor rgb="FF33CCCC"/>
      <rgbColor rgb="FF9BBB59"/>
      <rgbColor rgb="FFFFCC00"/>
      <rgbColor rgb="FFFF9900"/>
      <rgbColor rgb="FFE06930"/>
      <rgbColor rgb="FF3A6590"/>
      <rgbColor rgb="FF888888"/>
      <rgbColor rgb="FF003366"/>
      <rgbColor rgb="FF339966"/>
      <rgbColor rgb="FF003300"/>
      <rgbColor rgb="FF555555"/>
      <rgbColor rgb="FF9C5700"/>
      <rgbColor rgb="FF993366"/>
      <rgbColor rgb="FF1C559A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月別売上推移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【台帳】④売上分析!$B$5</c:f>
              <c:strCache>
                <c:ptCount val="1"/>
                <c:pt idx="0">
                  <c:v>売上合計（円）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【台帳】④売上分析!$A$6:$A$17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【台帳】④売上分析!$B$6:$B$17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C-4FE2-BCDE-B74B1E3A5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85689"/>
        <c:axId val="35382203"/>
      </c:barChart>
      <c:catAx>
        <c:axId val="203856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5382203"/>
        <c:crosses val="autoZero"/>
        <c:auto val="1"/>
        <c:lblAlgn val="ctr"/>
        <c:lblOffset val="100"/>
        <c:noMultiLvlLbl val="0"/>
      </c:catAx>
      <c:valAx>
        <c:axId val="35382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売上（円）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0385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月別会費収入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【会員】④売上分析!$B$5</c:f>
              <c:strCache>
                <c:ptCount val="1"/>
                <c:pt idx="0">
                  <c:v>収入合計（円）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【会員】④売上分析!$A$6:$A$17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【会員】④売上分析!$B$6:$B$17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5-4342-8119-38485DE6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25156"/>
        <c:axId val="49364330"/>
      </c:barChart>
      <c:catAx>
        <c:axId val="688251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9364330"/>
        <c:crosses val="autoZero"/>
        <c:auto val="1"/>
        <c:lblAlgn val="ctr"/>
        <c:lblOffset val="100"/>
        <c:noMultiLvlLbl val="0"/>
      </c:catAx>
      <c:valAx>
        <c:axId val="49364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金額（円）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88251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プラン別会員構成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【会員】④売上分析!$B$21</c:f>
              <c:strCache>
                <c:ptCount val="1"/>
                <c:pt idx="0">
                  <c:v>会員数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F7B-4240-A950-D8E3F8D2BE9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F7B-4240-A950-D8E3F8D2BE9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F7B-4240-A950-D8E3F8D2BE9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F7B-4240-A950-D8E3F8D2BE9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F7B-4240-A950-D8E3F8D2BE9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F7B-4240-A950-D8E3F8D2BE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【会員】④売上分析!$A$22:$A$24</c:f>
              <c:strCache>
                <c:ptCount val="3"/>
                <c:pt idx="0">
                  <c:v>ライト</c:v>
                </c:pt>
                <c:pt idx="1">
                  <c:v>スタンダード</c:v>
                </c:pt>
                <c:pt idx="2">
                  <c:v>プレミアム</c:v>
                </c:pt>
              </c:strCache>
            </c:strRef>
          </c:cat>
          <c:val>
            <c:numRef>
              <c:f>【会員】④売上分析!$B$22:$B$24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B-4240-A950-D8E3F8D2B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14</xdr:col>
      <xdr:colOff>362880</xdr:colOff>
      <xdr:row>19</xdr:row>
      <xdr:rowOff>250920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14</xdr:col>
      <xdr:colOff>363240</xdr:colOff>
      <xdr:row>19</xdr:row>
      <xdr:rowOff>250920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11</xdr:col>
      <xdr:colOff>37800</xdr:colOff>
      <xdr:row>35</xdr:row>
      <xdr:rowOff>159480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304;&#20250;&#21729;&#12305;&#9313;&#24341;&#33853;&#12375;&#31649;&#29702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会員】②引落し管理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559A"/>
  </sheetPr>
  <dimension ref="B1:D30"/>
  <sheetViews>
    <sheetView showGridLines="0" tabSelected="1" zoomScaleNormal="100" workbookViewId="0">
      <selection activeCell="J11" sqref="J11"/>
    </sheetView>
  </sheetViews>
  <sheetFormatPr defaultColWidth="8.6328125" defaultRowHeight="14.5"/>
  <cols>
    <col min="1" max="1" width="3" customWidth="1"/>
    <col min="2" max="2" width="24" customWidth="1"/>
    <col min="3" max="4" width="36" customWidth="1"/>
    <col min="5" max="5" width="3" customWidth="1"/>
  </cols>
  <sheetData>
    <row r="1" spans="2:4" ht="7.5" customHeight="1"/>
    <row r="2" spans="2:4" ht="39.75" customHeight="1">
      <c r="B2" s="14" t="s">
        <v>0</v>
      </c>
      <c r="C2" s="14"/>
      <c r="D2" s="14"/>
    </row>
    <row r="3" spans="2:4" ht="21.75" customHeight="1">
      <c r="B3" s="81" t="s">
        <v>168</v>
      </c>
      <c r="C3" s="13"/>
      <c r="D3" s="13"/>
    </row>
    <row r="4" spans="2:4" ht="7.5" customHeight="1"/>
    <row r="5" spans="2:4" ht="25.5" customHeight="1">
      <c r="B5" s="12" t="s">
        <v>1</v>
      </c>
      <c r="C5" s="12"/>
      <c r="D5" s="12"/>
    </row>
    <row r="6" spans="2:4" ht="21.75" customHeight="1">
      <c r="B6" s="15" t="s">
        <v>2</v>
      </c>
      <c r="C6" s="15" t="s">
        <v>3</v>
      </c>
      <c r="D6" s="15" t="s">
        <v>4</v>
      </c>
    </row>
    <row r="7" spans="2:4" ht="27.75" customHeight="1">
      <c r="B7" s="16" t="s">
        <v>5</v>
      </c>
      <c r="C7" s="17" t="s">
        <v>6</v>
      </c>
      <c r="D7" s="18" t="s">
        <v>7</v>
      </c>
    </row>
    <row r="8" spans="2:4" ht="27.75" customHeight="1">
      <c r="B8" s="19" t="s">
        <v>8</v>
      </c>
      <c r="C8" s="20" t="s">
        <v>9</v>
      </c>
      <c r="D8" s="21" t="s">
        <v>10</v>
      </c>
    </row>
    <row r="9" spans="2:4" ht="27.75" customHeight="1">
      <c r="B9" s="16" t="s">
        <v>11</v>
      </c>
      <c r="C9" s="17" t="s">
        <v>12</v>
      </c>
      <c r="D9" s="22" t="s">
        <v>13</v>
      </c>
    </row>
    <row r="10" spans="2:4" ht="27.75" customHeight="1">
      <c r="B10" s="19" t="s">
        <v>14</v>
      </c>
      <c r="C10" s="20" t="s">
        <v>15</v>
      </c>
      <c r="D10" s="21" t="s">
        <v>16</v>
      </c>
    </row>
    <row r="11" spans="2:4" ht="27.75" customHeight="1">
      <c r="B11" s="16" t="s">
        <v>17</v>
      </c>
      <c r="C11" s="17" t="s">
        <v>18</v>
      </c>
      <c r="D11" s="18" t="s">
        <v>19</v>
      </c>
    </row>
    <row r="12" spans="2:4" ht="27.75" customHeight="1">
      <c r="B12" s="19" t="s">
        <v>20</v>
      </c>
      <c r="C12" s="20" t="s">
        <v>21</v>
      </c>
      <c r="D12" s="21" t="s">
        <v>22</v>
      </c>
    </row>
    <row r="13" spans="2:4" ht="27.75" customHeight="1">
      <c r="B13" s="16" t="s">
        <v>23</v>
      </c>
      <c r="C13" s="17" t="s">
        <v>24</v>
      </c>
      <c r="D13" s="18" t="s">
        <v>25</v>
      </c>
    </row>
    <row r="14" spans="2:4" ht="27.75" customHeight="1">
      <c r="B14" s="19" t="s">
        <v>26</v>
      </c>
      <c r="C14" s="20" t="s">
        <v>27</v>
      </c>
      <c r="D14" s="21" t="s">
        <v>28</v>
      </c>
    </row>
    <row r="15" spans="2:4" ht="27.75" customHeight="1">
      <c r="B15" s="16" t="s">
        <v>29</v>
      </c>
      <c r="C15" s="17" t="s">
        <v>30</v>
      </c>
      <c r="D15" s="18" t="s">
        <v>31</v>
      </c>
    </row>
    <row r="17" spans="2:4" ht="12" customHeight="1"/>
    <row r="18" spans="2:4" ht="25.5" customHeight="1">
      <c r="B18" s="12" t="s">
        <v>32</v>
      </c>
      <c r="C18" s="12"/>
      <c r="D18" s="12"/>
    </row>
    <row r="19" spans="2:4" ht="21.75" customHeight="1">
      <c r="B19" s="15" t="s">
        <v>33</v>
      </c>
      <c r="C19" s="15" t="s">
        <v>34</v>
      </c>
      <c r="D19" s="15" t="s">
        <v>35</v>
      </c>
    </row>
    <row r="20" spans="2:4" ht="24" customHeight="1">
      <c r="B20" s="23" t="s">
        <v>5</v>
      </c>
      <c r="C20" s="23" t="s">
        <v>8</v>
      </c>
      <c r="D20" s="17" t="s">
        <v>36</v>
      </c>
    </row>
    <row r="21" spans="2:4" ht="24" customHeight="1">
      <c r="B21" s="24" t="s">
        <v>8</v>
      </c>
      <c r="C21" s="24" t="s">
        <v>11</v>
      </c>
      <c r="D21" s="20" t="s">
        <v>37</v>
      </c>
    </row>
    <row r="22" spans="2:4" ht="24" customHeight="1">
      <c r="B22" s="23" t="s">
        <v>8</v>
      </c>
      <c r="C22" s="23" t="s">
        <v>14</v>
      </c>
      <c r="D22" s="17" t="s">
        <v>38</v>
      </c>
    </row>
    <row r="23" spans="2:4" ht="24" customHeight="1">
      <c r="B23" s="24" t="s">
        <v>26</v>
      </c>
      <c r="C23" s="24" t="s">
        <v>17</v>
      </c>
      <c r="D23" s="20" t="s">
        <v>39</v>
      </c>
    </row>
    <row r="24" spans="2:4" ht="24" customHeight="1">
      <c r="B24" s="23" t="s">
        <v>17</v>
      </c>
      <c r="C24" s="23" t="s">
        <v>23</v>
      </c>
      <c r="D24" s="17" t="s">
        <v>40</v>
      </c>
    </row>
    <row r="25" spans="2:4" ht="24" customHeight="1">
      <c r="B25" s="24" t="s">
        <v>41</v>
      </c>
      <c r="C25" s="24" t="s">
        <v>23</v>
      </c>
      <c r="D25" s="20" t="s">
        <v>42</v>
      </c>
    </row>
    <row r="26" spans="2:4" ht="24" customHeight="1">
      <c r="B26" s="23" t="s">
        <v>23</v>
      </c>
      <c r="C26" s="23" t="s">
        <v>29</v>
      </c>
      <c r="D26" s="17" t="s">
        <v>43</v>
      </c>
    </row>
    <row r="29" spans="2:4" ht="19.5" customHeight="1">
      <c r="B29" s="11" t="s">
        <v>44</v>
      </c>
      <c r="C29" s="11"/>
      <c r="D29" s="11"/>
    </row>
    <row r="30" spans="2:4" ht="19.5" customHeight="1">
      <c r="B30" s="10" t="s">
        <v>45</v>
      </c>
      <c r="C30" s="10"/>
      <c r="D30" s="10"/>
    </row>
  </sheetData>
  <mergeCells count="6">
    <mergeCell ref="B30:D30"/>
    <mergeCell ref="B2:D2"/>
    <mergeCell ref="B3:D3"/>
    <mergeCell ref="B5:D5"/>
    <mergeCell ref="B18:D18"/>
    <mergeCell ref="B29:D29"/>
  </mergeCells>
  <phoneticPr fontId="37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8788"/>
  </sheetPr>
  <dimension ref="A1:J105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0" customWidth="1"/>
    <col min="2" max="4" width="16" customWidth="1"/>
    <col min="5" max="5" width="28" customWidth="1"/>
    <col min="6" max="6" width="36" customWidth="1"/>
    <col min="7" max="7" width="14" customWidth="1"/>
    <col min="8" max="8" width="24" customWidth="1"/>
  </cols>
  <sheetData>
    <row r="1" spans="1:10" ht="24" customHeight="1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</row>
    <row r="2" spans="1:10" ht="15.75" customHeight="1">
      <c r="A2" s="8" t="s">
        <v>47</v>
      </c>
      <c r="B2" s="8"/>
      <c r="C2" s="8"/>
      <c r="D2" s="8"/>
      <c r="E2" s="8"/>
      <c r="F2" s="8"/>
      <c r="G2" s="8"/>
      <c r="H2" s="8"/>
      <c r="I2" s="8"/>
      <c r="J2" s="8"/>
    </row>
    <row r="3" spans="1:10" ht="27.75" customHeight="1">
      <c r="A3" s="25" t="s">
        <v>48</v>
      </c>
      <c r="B3" s="82" t="s">
        <v>169</v>
      </c>
      <c r="C3" s="25" t="s">
        <v>50</v>
      </c>
      <c r="D3" s="25" t="s">
        <v>51</v>
      </c>
      <c r="E3" s="25" t="s">
        <v>52</v>
      </c>
      <c r="F3" s="25" t="s">
        <v>53</v>
      </c>
      <c r="G3" s="25" t="s">
        <v>54</v>
      </c>
      <c r="H3" s="25" t="s">
        <v>55</v>
      </c>
    </row>
    <row r="4" spans="1:10" ht="19.5" customHeight="1">
      <c r="A4" s="26" t="s">
        <v>56</v>
      </c>
      <c r="B4" s="27" t="s">
        <v>57</v>
      </c>
      <c r="C4" s="27" t="s">
        <v>58</v>
      </c>
      <c r="D4" s="26" t="s">
        <v>59</v>
      </c>
      <c r="E4" s="26" t="s">
        <v>60</v>
      </c>
      <c r="F4" s="27" t="s">
        <v>61</v>
      </c>
      <c r="G4" s="28">
        <v>46032</v>
      </c>
      <c r="H4" s="26"/>
    </row>
    <row r="5" spans="1:10" ht="19.5" customHeight="1">
      <c r="A5" s="26" t="s">
        <v>62</v>
      </c>
      <c r="B5" s="27" t="s">
        <v>63</v>
      </c>
      <c r="C5" s="27" t="s">
        <v>64</v>
      </c>
      <c r="D5" s="26" t="s">
        <v>65</v>
      </c>
      <c r="E5" s="26" t="s">
        <v>66</v>
      </c>
      <c r="F5" s="27" t="s">
        <v>67</v>
      </c>
      <c r="G5" s="28">
        <v>46068</v>
      </c>
      <c r="H5" s="27" t="s">
        <v>68</v>
      </c>
    </row>
    <row r="6" spans="1:10" ht="19.5" customHeight="1">
      <c r="A6" s="29"/>
      <c r="B6" s="29"/>
      <c r="C6" s="29"/>
      <c r="D6" s="29"/>
      <c r="E6" s="29"/>
      <c r="F6" s="29"/>
      <c r="G6" s="30"/>
      <c r="H6" s="29"/>
    </row>
    <row r="7" spans="1:10" ht="19.5" customHeight="1">
      <c r="A7" s="31"/>
      <c r="B7" s="31"/>
      <c r="C7" s="31"/>
      <c r="D7" s="31"/>
      <c r="E7" s="31"/>
      <c r="F7" s="31"/>
      <c r="G7" s="32"/>
      <c r="H7" s="31"/>
    </row>
    <row r="8" spans="1:10" ht="19.5" customHeight="1">
      <c r="A8" s="29"/>
      <c r="B8" s="29"/>
      <c r="C8" s="29"/>
      <c r="D8" s="29"/>
      <c r="E8" s="29"/>
      <c r="F8" s="29"/>
      <c r="G8" s="30"/>
      <c r="H8" s="29"/>
    </row>
    <row r="9" spans="1:10" ht="19.5" customHeight="1">
      <c r="A9" s="31"/>
      <c r="B9" s="31"/>
      <c r="C9" s="31"/>
      <c r="D9" s="31"/>
      <c r="E9" s="31"/>
      <c r="F9" s="31"/>
      <c r="G9" s="32"/>
      <c r="H9" s="31"/>
    </row>
    <row r="10" spans="1:10" ht="19.5" customHeight="1">
      <c r="A10" s="29"/>
      <c r="B10" s="29"/>
      <c r="C10" s="29"/>
      <c r="D10" s="29"/>
      <c r="E10" s="29"/>
      <c r="F10" s="29"/>
      <c r="G10" s="30"/>
      <c r="H10" s="29"/>
    </row>
    <row r="11" spans="1:10" ht="19.5" customHeight="1">
      <c r="A11" s="31"/>
      <c r="B11" s="31"/>
      <c r="C11" s="31"/>
      <c r="D11" s="31"/>
      <c r="E11" s="31"/>
      <c r="F11" s="31"/>
      <c r="G11" s="32"/>
      <c r="H11" s="31"/>
    </row>
    <row r="12" spans="1:10" ht="19.5" customHeight="1">
      <c r="A12" s="29"/>
      <c r="B12" s="29"/>
      <c r="C12" s="29"/>
      <c r="D12" s="29"/>
      <c r="E12" s="29"/>
      <c r="F12" s="29"/>
      <c r="G12" s="30"/>
      <c r="H12" s="29"/>
    </row>
    <row r="13" spans="1:10" ht="19.5" customHeight="1">
      <c r="A13" s="31"/>
      <c r="B13" s="31"/>
      <c r="C13" s="31"/>
      <c r="D13" s="31"/>
      <c r="E13" s="31"/>
      <c r="F13" s="31"/>
      <c r="G13" s="32"/>
      <c r="H13" s="31"/>
    </row>
    <row r="14" spans="1:10" ht="19.5" customHeight="1">
      <c r="A14" s="29"/>
      <c r="B14" s="29"/>
      <c r="C14" s="29"/>
      <c r="D14" s="29"/>
      <c r="E14" s="29"/>
      <c r="F14" s="29"/>
      <c r="G14" s="30"/>
      <c r="H14" s="29"/>
    </row>
    <row r="15" spans="1:10" ht="19.5" customHeight="1">
      <c r="A15" s="31"/>
      <c r="B15" s="31"/>
      <c r="C15" s="31"/>
      <c r="D15" s="31"/>
      <c r="E15" s="31"/>
      <c r="F15" s="31"/>
      <c r="G15" s="32"/>
      <c r="H15" s="31"/>
    </row>
    <row r="16" spans="1:10" ht="19.5" customHeight="1">
      <c r="A16" s="29"/>
      <c r="B16" s="29"/>
      <c r="C16" s="29"/>
      <c r="D16" s="29"/>
      <c r="E16" s="29"/>
      <c r="F16" s="29"/>
      <c r="G16" s="30"/>
      <c r="H16" s="29"/>
    </row>
    <row r="17" spans="1:8" ht="19.5" customHeight="1">
      <c r="A17" s="31"/>
      <c r="B17" s="31"/>
      <c r="C17" s="31"/>
      <c r="D17" s="31"/>
      <c r="E17" s="31"/>
      <c r="F17" s="31"/>
      <c r="G17" s="32"/>
      <c r="H17" s="31"/>
    </row>
    <row r="18" spans="1:8" ht="19.5" customHeight="1">
      <c r="A18" s="29"/>
      <c r="B18" s="29"/>
      <c r="C18" s="29"/>
      <c r="D18" s="29"/>
      <c r="E18" s="29"/>
      <c r="F18" s="29"/>
      <c r="G18" s="30"/>
      <c r="H18" s="29"/>
    </row>
    <row r="19" spans="1:8" ht="19.5" customHeight="1">
      <c r="A19" s="31"/>
      <c r="B19" s="31"/>
      <c r="C19" s="31"/>
      <c r="D19" s="31"/>
      <c r="E19" s="31"/>
      <c r="F19" s="31"/>
      <c r="G19" s="32"/>
      <c r="H19" s="31"/>
    </row>
    <row r="20" spans="1:8" ht="19.5" customHeight="1">
      <c r="A20" s="29"/>
      <c r="B20" s="29"/>
      <c r="C20" s="29"/>
      <c r="D20" s="29"/>
      <c r="E20" s="29"/>
      <c r="F20" s="29"/>
      <c r="G20" s="30"/>
      <c r="H20" s="29"/>
    </row>
    <row r="21" spans="1:8" ht="19.5" customHeight="1">
      <c r="A21" s="31"/>
      <c r="B21" s="31"/>
      <c r="C21" s="31"/>
      <c r="D21" s="31"/>
      <c r="E21" s="31"/>
      <c r="F21" s="31"/>
      <c r="G21" s="32"/>
      <c r="H21" s="31"/>
    </row>
    <row r="22" spans="1:8" ht="19.5" customHeight="1">
      <c r="A22" s="29"/>
      <c r="B22" s="29"/>
      <c r="C22" s="29"/>
      <c r="D22" s="29"/>
      <c r="E22" s="29"/>
      <c r="F22" s="29"/>
      <c r="G22" s="30"/>
      <c r="H22" s="29"/>
    </row>
    <row r="23" spans="1:8" ht="19.5" customHeight="1">
      <c r="A23" s="31"/>
      <c r="B23" s="31"/>
      <c r="C23" s="31"/>
      <c r="D23" s="31"/>
      <c r="E23" s="31"/>
      <c r="F23" s="31"/>
      <c r="G23" s="32"/>
      <c r="H23" s="31"/>
    </row>
    <row r="24" spans="1:8" ht="19.5" customHeight="1">
      <c r="A24" s="29"/>
      <c r="B24" s="29"/>
      <c r="C24" s="29"/>
      <c r="D24" s="29"/>
      <c r="E24" s="29"/>
      <c r="F24" s="29"/>
      <c r="G24" s="30"/>
      <c r="H24" s="29"/>
    </row>
    <row r="25" spans="1:8" ht="19.5" customHeight="1">
      <c r="A25" s="31"/>
      <c r="B25" s="31"/>
      <c r="C25" s="31"/>
      <c r="D25" s="31"/>
      <c r="E25" s="31"/>
      <c r="F25" s="31"/>
      <c r="G25" s="32"/>
      <c r="H25" s="31"/>
    </row>
    <row r="26" spans="1:8" ht="19.5" customHeight="1">
      <c r="A26" s="29"/>
      <c r="B26" s="29"/>
      <c r="C26" s="29"/>
      <c r="D26" s="29"/>
      <c r="E26" s="29"/>
      <c r="F26" s="29"/>
      <c r="G26" s="30"/>
      <c r="H26" s="29"/>
    </row>
    <row r="27" spans="1:8" ht="19.5" customHeight="1">
      <c r="A27" s="31"/>
      <c r="B27" s="31"/>
      <c r="C27" s="31"/>
      <c r="D27" s="31"/>
      <c r="E27" s="31"/>
      <c r="F27" s="31"/>
      <c r="G27" s="32"/>
      <c r="H27" s="31"/>
    </row>
    <row r="28" spans="1:8" ht="19.5" customHeight="1">
      <c r="A28" s="29"/>
      <c r="B28" s="29"/>
      <c r="C28" s="29"/>
      <c r="D28" s="29"/>
      <c r="E28" s="29"/>
      <c r="F28" s="29"/>
      <c r="G28" s="30"/>
      <c r="H28" s="29"/>
    </row>
    <row r="29" spans="1:8" ht="19.5" customHeight="1">
      <c r="A29" s="31"/>
      <c r="B29" s="31"/>
      <c r="C29" s="31"/>
      <c r="D29" s="31"/>
      <c r="E29" s="31"/>
      <c r="F29" s="31"/>
      <c r="G29" s="32"/>
      <c r="H29" s="31"/>
    </row>
    <row r="30" spans="1:8" ht="19.5" customHeight="1">
      <c r="A30" s="29"/>
      <c r="B30" s="29"/>
      <c r="C30" s="29"/>
      <c r="D30" s="29"/>
      <c r="E30" s="29"/>
      <c r="F30" s="29"/>
      <c r="G30" s="30"/>
      <c r="H30" s="29"/>
    </row>
    <row r="31" spans="1:8" ht="19.5" customHeight="1">
      <c r="A31" s="31"/>
      <c r="B31" s="31"/>
      <c r="C31" s="31"/>
      <c r="D31" s="31"/>
      <c r="E31" s="31"/>
      <c r="F31" s="31"/>
      <c r="G31" s="32"/>
      <c r="H31" s="31"/>
    </row>
    <row r="32" spans="1:8" ht="19.5" customHeight="1">
      <c r="A32" s="29"/>
      <c r="B32" s="29"/>
      <c r="C32" s="29"/>
      <c r="D32" s="29"/>
      <c r="E32" s="29"/>
      <c r="F32" s="29"/>
      <c r="G32" s="30"/>
      <c r="H32" s="29"/>
    </row>
    <row r="33" spans="1:8" ht="19.5" customHeight="1">
      <c r="A33" s="31"/>
      <c r="B33" s="31"/>
      <c r="C33" s="31"/>
      <c r="D33" s="31"/>
      <c r="E33" s="31"/>
      <c r="F33" s="31"/>
      <c r="G33" s="32"/>
      <c r="H33" s="31"/>
    </row>
    <row r="34" spans="1:8" ht="19.5" customHeight="1">
      <c r="A34" s="29"/>
      <c r="B34" s="29"/>
      <c r="C34" s="29"/>
      <c r="D34" s="29"/>
      <c r="E34" s="29"/>
      <c r="F34" s="29"/>
      <c r="G34" s="30"/>
      <c r="H34" s="29"/>
    </row>
    <row r="35" spans="1:8" ht="19.5" customHeight="1">
      <c r="A35" s="31"/>
      <c r="B35" s="31"/>
      <c r="C35" s="31"/>
      <c r="D35" s="31"/>
      <c r="E35" s="31"/>
      <c r="F35" s="31"/>
      <c r="G35" s="32"/>
      <c r="H35" s="31"/>
    </row>
    <row r="36" spans="1:8" ht="19.5" customHeight="1">
      <c r="A36" s="29"/>
      <c r="B36" s="29"/>
      <c r="C36" s="29"/>
      <c r="D36" s="29"/>
      <c r="E36" s="29"/>
      <c r="F36" s="29"/>
      <c r="G36" s="30"/>
      <c r="H36" s="29"/>
    </row>
    <row r="37" spans="1:8" ht="19.5" customHeight="1">
      <c r="A37" s="31"/>
      <c r="B37" s="31"/>
      <c r="C37" s="31"/>
      <c r="D37" s="31"/>
      <c r="E37" s="31"/>
      <c r="F37" s="31"/>
      <c r="G37" s="32"/>
      <c r="H37" s="31"/>
    </row>
    <row r="38" spans="1:8" ht="19.5" customHeight="1">
      <c r="A38" s="29"/>
      <c r="B38" s="29"/>
      <c r="C38" s="29"/>
      <c r="D38" s="29"/>
      <c r="E38" s="29"/>
      <c r="F38" s="29"/>
      <c r="G38" s="30"/>
      <c r="H38" s="29"/>
    </row>
    <row r="39" spans="1:8" ht="19.5" customHeight="1">
      <c r="A39" s="31"/>
      <c r="B39" s="31"/>
      <c r="C39" s="31"/>
      <c r="D39" s="31"/>
      <c r="E39" s="31"/>
      <c r="F39" s="31"/>
      <c r="G39" s="32"/>
      <c r="H39" s="31"/>
    </row>
    <row r="40" spans="1:8" ht="19.5" customHeight="1">
      <c r="A40" s="29"/>
      <c r="B40" s="29"/>
      <c r="C40" s="29"/>
      <c r="D40" s="29"/>
      <c r="E40" s="29"/>
      <c r="F40" s="29"/>
      <c r="G40" s="30"/>
      <c r="H40" s="29"/>
    </row>
    <row r="41" spans="1:8" ht="19.5" customHeight="1">
      <c r="A41" s="31"/>
      <c r="B41" s="31"/>
      <c r="C41" s="31"/>
      <c r="D41" s="31"/>
      <c r="E41" s="31"/>
      <c r="F41" s="31"/>
      <c r="G41" s="32"/>
      <c r="H41" s="31"/>
    </row>
    <row r="42" spans="1:8" ht="19.5" customHeight="1">
      <c r="A42" s="29"/>
      <c r="B42" s="29"/>
      <c r="C42" s="29"/>
      <c r="D42" s="29"/>
      <c r="E42" s="29"/>
      <c r="F42" s="29"/>
      <c r="G42" s="30"/>
      <c r="H42" s="29"/>
    </row>
    <row r="43" spans="1:8" ht="19.5" customHeight="1">
      <c r="A43" s="31"/>
      <c r="B43" s="31"/>
      <c r="C43" s="31"/>
      <c r="D43" s="31"/>
      <c r="E43" s="31"/>
      <c r="F43" s="31"/>
      <c r="G43" s="32"/>
      <c r="H43" s="31"/>
    </row>
    <row r="44" spans="1:8" ht="19.5" customHeight="1">
      <c r="A44" s="29"/>
      <c r="B44" s="29"/>
      <c r="C44" s="29"/>
      <c r="D44" s="29"/>
      <c r="E44" s="29"/>
      <c r="F44" s="29"/>
      <c r="G44" s="30"/>
      <c r="H44" s="29"/>
    </row>
    <row r="45" spans="1:8" ht="19.5" customHeight="1">
      <c r="A45" s="31"/>
      <c r="B45" s="31"/>
      <c r="C45" s="31"/>
      <c r="D45" s="31"/>
      <c r="E45" s="31"/>
      <c r="F45" s="31"/>
      <c r="G45" s="32"/>
      <c r="H45" s="31"/>
    </row>
    <row r="46" spans="1:8" ht="19.5" customHeight="1">
      <c r="A46" s="29"/>
      <c r="B46" s="29"/>
      <c r="C46" s="29"/>
      <c r="D46" s="29"/>
      <c r="E46" s="29"/>
      <c r="F46" s="29"/>
      <c r="G46" s="30"/>
      <c r="H46" s="29"/>
    </row>
    <row r="47" spans="1:8" ht="19.5" customHeight="1">
      <c r="A47" s="31"/>
      <c r="B47" s="31"/>
      <c r="C47" s="31"/>
      <c r="D47" s="31"/>
      <c r="E47" s="31"/>
      <c r="F47" s="31"/>
      <c r="G47" s="32"/>
      <c r="H47" s="31"/>
    </row>
    <row r="48" spans="1:8" ht="19.5" customHeight="1">
      <c r="A48" s="29"/>
      <c r="B48" s="29"/>
      <c r="C48" s="29"/>
      <c r="D48" s="29"/>
      <c r="E48" s="29"/>
      <c r="F48" s="29"/>
      <c r="G48" s="30"/>
      <c r="H48" s="29"/>
    </row>
    <row r="49" spans="1:8" ht="19.5" customHeight="1">
      <c r="A49" s="31"/>
      <c r="B49" s="31"/>
      <c r="C49" s="31"/>
      <c r="D49" s="31"/>
      <c r="E49" s="31"/>
      <c r="F49" s="31"/>
      <c r="G49" s="32"/>
      <c r="H49" s="31"/>
    </row>
    <row r="50" spans="1:8" ht="19.5" customHeight="1">
      <c r="A50" s="29"/>
      <c r="B50" s="29"/>
      <c r="C50" s="29"/>
      <c r="D50" s="29"/>
      <c r="E50" s="29"/>
      <c r="F50" s="29"/>
      <c r="G50" s="30"/>
      <c r="H50" s="29"/>
    </row>
    <row r="51" spans="1:8" ht="19.5" customHeight="1">
      <c r="A51" s="31"/>
      <c r="B51" s="31"/>
      <c r="C51" s="31"/>
      <c r="D51" s="31"/>
      <c r="E51" s="31"/>
      <c r="F51" s="31"/>
      <c r="G51" s="32"/>
      <c r="H51" s="31"/>
    </row>
    <row r="52" spans="1:8" ht="19.5" customHeight="1">
      <c r="A52" s="29"/>
      <c r="B52" s="29"/>
      <c r="C52" s="29"/>
      <c r="D52" s="29"/>
      <c r="E52" s="29"/>
      <c r="F52" s="29"/>
      <c r="G52" s="30"/>
      <c r="H52" s="29"/>
    </row>
    <row r="53" spans="1:8" ht="19.5" customHeight="1">
      <c r="A53" s="31"/>
      <c r="B53" s="31"/>
      <c r="C53" s="31"/>
      <c r="D53" s="31"/>
      <c r="E53" s="31"/>
      <c r="F53" s="31"/>
      <c r="G53" s="32"/>
      <c r="H53" s="31"/>
    </row>
    <row r="54" spans="1:8" ht="19.5" customHeight="1">
      <c r="A54" s="29"/>
      <c r="B54" s="29"/>
      <c r="C54" s="29"/>
      <c r="D54" s="29"/>
      <c r="E54" s="29"/>
      <c r="F54" s="29"/>
      <c r="G54" s="30"/>
      <c r="H54" s="29"/>
    </row>
    <row r="55" spans="1:8" ht="19.5" customHeight="1">
      <c r="A55" s="31"/>
      <c r="B55" s="31"/>
      <c r="C55" s="31"/>
      <c r="D55" s="31"/>
      <c r="E55" s="31"/>
      <c r="F55" s="31"/>
      <c r="G55" s="32"/>
      <c r="H55" s="31"/>
    </row>
    <row r="56" spans="1:8" ht="19.5" customHeight="1">
      <c r="A56" s="29"/>
      <c r="B56" s="29"/>
      <c r="C56" s="29"/>
      <c r="D56" s="29"/>
      <c r="E56" s="29"/>
      <c r="F56" s="29"/>
      <c r="G56" s="30"/>
      <c r="H56" s="29"/>
    </row>
    <row r="57" spans="1:8" ht="19.5" customHeight="1">
      <c r="A57" s="31"/>
      <c r="B57" s="31"/>
      <c r="C57" s="31"/>
      <c r="D57" s="31"/>
      <c r="E57" s="31"/>
      <c r="F57" s="31"/>
      <c r="G57" s="32"/>
      <c r="H57" s="31"/>
    </row>
    <row r="58" spans="1:8" ht="19.5" customHeight="1">
      <c r="A58" s="29"/>
      <c r="B58" s="29"/>
      <c r="C58" s="29"/>
      <c r="D58" s="29"/>
      <c r="E58" s="29"/>
      <c r="F58" s="29"/>
      <c r="G58" s="30"/>
      <c r="H58" s="29"/>
    </row>
    <row r="59" spans="1:8" ht="19.5" customHeight="1">
      <c r="A59" s="31"/>
      <c r="B59" s="31"/>
      <c r="C59" s="31"/>
      <c r="D59" s="31"/>
      <c r="E59" s="31"/>
      <c r="F59" s="31"/>
      <c r="G59" s="32"/>
      <c r="H59" s="31"/>
    </row>
    <row r="60" spans="1:8" ht="19.5" customHeight="1">
      <c r="A60" s="29"/>
      <c r="B60" s="29"/>
      <c r="C60" s="29"/>
      <c r="D60" s="29"/>
      <c r="E60" s="29"/>
      <c r="F60" s="29"/>
      <c r="G60" s="30"/>
      <c r="H60" s="29"/>
    </row>
    <row r="61" spans="1:8" ht="19.5" customHeight="1">
      <c r="A61" s="31"/>
      <c r="B61" s="31"/>
      <c r="C61" s="31"/>
      <c r="D61" s="31"/>
      <c r="E61" s="31"/>
      <c r="F61" s="31"/>
      <c r="G61" s="32"/>
      <c r="H61" s="31"/>
    </row>
    <row r="62" spans="1:8" ht="19.5" customHeight="1">
      <c r="A62" s="29"/>
      <c r="B62" s="29"/>
      <c r="C62" s="29"/>
      <c r="D62" s="29"/>
      <c r="E62" s="29"/>
      <c r="F62" s="29"/>
      <c r="G62" s="30"/>
      <c r="H62" s="29"/>
    </row>
    <row r="63" spans="1:8" ht="19.5" customHeight="1">
      <c r="A63" s="31"/>
      <c r="B63" s="31"/>
      <c r="C63" s="31"/>
      <c r="D63" s="31"/>
      <c r="E63" s="31"/>
      <c r="F63" s="31"/>
      <c r="G63" s="32"/>
      <c r="H63" s="31"/>
    </row>
    <row r="64" spans="1:8" ht="19.5" customHeight="1">
      <c r="A64" s="29"/>
      <c r="B64" s="29"/>
      <c r="C64" s="29"/>
      <c r="D64" s="29"/>
      <c r="E64" s="29"/>
      <c r="F64" s="29"/>
      <c r="G64" s="30"/>
      <c r="H64" s="29"/>
    </row>
    <row r="65" spans="1:8" ht="19.5" customHeight="1">
      <c r="A65" s="31"/>
      <c r="B65" s="31"/>
      <c r="C65" s="31"/>
      <c r="D65" s="31"/>
      <c r="E65" s="31"/>
      <c r="F65" s="31"/>
      <c r="G65" s="32"/>
      <c r="H65" s="31"/>
    </row>
    <row r="66" spans="1:8" ht="19.5" customHeight="1">
      <c r="A66" s="29"/>
      <c r="B66" s="29"/>
      <c r="C66" s="29"/>
      <c r="D66" s="29"/>
      <c r="E66" s="29"/>
      <c r="F66" s="29"/>
      <c r="G66" s="30"/>
      <c r="H66" s="29"/>
    </row>
    <row r="67" spans="1:8" ht="19.5" customHeight="1">
      <c r="A67" s="31"/>
      <c r="B67" s="31"/>
      <c r="C67" s="31"/>
      <c r="D67" s="31"/>
      <c r="E67" s="31"/>
      <c r="F67" s="31"/>
      <c r="G67" s="32"/>
      <c r="H67" s="31"/>
    </row>
    <row r="68" spans="1:8" ht="19.5" customHeight="1">
      <c r="A68" s="29"/>
      <c r="B68" s="29"/>
      <c r="C68" s="29"/>
      <c r="D68" s="29"/>
      <c r="E68" s="29"/>
      <c r="F68" s="29"/>
      <c r="G68" s="30"/>
      <c r="H68" s="29"/>
    </row>
    <row r="69" spans="1:8" ht="19.5" customHeight="1">
      <c r="A69" s="31"/>
      <c r="B69" s="31"/>
      <c r="C69" s="31"/>
      <c r="D69" s="31"/>
      <c r="E69" s="31"/>
      <c r="F69" s="31"/>
      <c r="G69" s="32"/>
      <c r="H69" s="31"/>
    </row>
    <row r="70" spans="1:8" ht="19.5" customHeight="1">
      <c r="A70" s="29"/>
      <c r="B70" s="29"/>
      <c r="C70" s="29"/>
      <c r="D70" s="29"/>
      <c r="E70" s="29"/>
      <c r="F70" s="29"/>
      <c r="G70" s="30"/>
      <c r="H70" s="29"/>
    </row>
    <row r="71" spans="1:8" ht="19.5" customHeight="1">
      <c r="A71" s="31"/>
      <c r="B71" s="31"/>
      <c r="C71" s="31"/>
      <c r="D71" s="31"/>
      <c r="E71" s="31"/>
      <c r="F71" s="31"/>
      <c r="G71" s="32"/>
      <c r="H71" s="31"/>
    </row>
    <row r="72" spans="1:8" ht="19.5" customHeight="1">
      <c r="A72" s="29"/>
      <c r="B72" s="29"/>
      <c r="C72" s="29"/>
      <c r="D72" s="29"/>
      <c r="E72" s="29"/>
      <c r="F72" s="29"/>
      <c r="G72" s="30"/>
      <c r="H72" s="29"/>
    </row>
    <row r="73" spans="1:8" ht="19.5" customHeight="1">
      <c r="A73" s="31"/>
      <c r="B73" s="31"/>
      <c r="C73" s="31"/>
      <c r="D73" s="31"/>
      <c r="E73" s="31"/>
      <c r="F73" s="31"/>
      <c r="G73" s="32"/>
      <c r="H73" s="31"/>
    </row>
    <row r="74" spans="1:8" ht="19.5" customHeight="1">
      <c r="A74" s="29"/>
      <c r="B74" s="29"/>
      <c r="C74" s="29"/>
      <c r="D74" s="29"/>
      <c r="E74" s="29"/>
      <c r="F74" s="29"/>
      <c r="G74" s="30"/>
      <c r="H74" s="29"/>
    </row>
    <row r="75" spans="1:8" ht="19.5" customHeight="1">
      <c r="A75" s="31"/>
      <c r="B75" s="31"/>
      <c r="C75" s="31"/>
      <c r="D75" s="31"/>
      <c r="E75" s="31"/>
      <c r="F75" s="31"/>
      <c r="G75" s="32"/>
      <c r="H75" s="31"/>
    </row>
    <row r="76" spans="1:8" ht="19.5" customHeight="1">
      <c r="A76" s="29"/>
      <c r="B76" s="29"/>
      <c r="C76" s="29"/>
      <c r="D76" s="29"/>
      <c r="E76" s="29"/>
      <c r="F76" s="29"/>
      <c r="G76" s="30"/>
      <c r="H76" s="29"/>
    </row>
    <row r="77" spans="1:8" ht="19.5" customHeight="1">
      <c r="A77" s="31"/>
      <c r="B77" s="31"/>
      <c r="C77" s="31"/>
      <c r="D77" s="31"/>
      <c r="E77" s="31"/>
      <c r="F77" s="31"/>
      <c r="G77" s="32"/>
      <c r="H77" s="31"/>
    </row>
    <row r="78" spans="1:8" ht="19.5" customHeight="1">
      <c r="A78" s="29"/>
      <c r="B78" s="29"/>
      <c r="C78" s="29"/>
      <c r="D78" s="29"/>
      <c r="E78" s="29"/>
      <c r="F78" s="29"/>
      <c r="G78" s="30"/>
      <c r="H78" s="29"/>
    </row>
    <row r="79" spans="1:8" ht="19.5" customHeight="1">
      <c r="A79" s="31"/>
      <c r="B79" s="31"/>
      <c r="C79" s="31"/>
      <c r="D79" s="31"/>
      <c r="E79" s="31"/>
      <c r="F79" s="31"/>
      <c r="G79" s="32"/>
      <c r="H79" s="31"/>
    </row>
    <row r="80" spans="1:8" ht="19.5" customHeight="1">
      <c r="A80" s="29"/>
      <c r="B80" s="29"/>
      <c r="C80" s="29"/>
      <c r="D80" s="29"/>
      <c r="E80" s="29"/>
      <c r="F80" s="29"/>
      <c r="G80" s="30"/>
      <c r="H80" s="29"/>
    </row>
    <row r="81" spans="1:8" ht="19.5" customHeight="1">
      <c r="A81" s="31"/>
      <c r="B81" s="31"/>
      <c r="C81" s="31"/>
      <c r="D81" s="31"/>
      <c r="E81" s="31"/>
      <c r="F81" s="31"/>
      <c r="G81" s="32"/>
      <c r="H81" s="31"/>
    </row>
    <row r="82" spans="1:8" ht="19.5" customHeight="1">
      <c r="A82" s="29"/>
      <c r="B82" s="29"/>
      <c r="C82" s="29"/>
      <c r="D82" s="29"/>
      <c r="E82" s="29"/>
      <c r="F82" s="29"/>
      <c r="G82" s="30"/>
      <c r="H82" s="29"/>
    </row>
    <row r="83" spans="1:8" ht="19.5" customHeight="1">
      <c r="A83" s="31"/>
      <c r="B83" s="31"/>
      <c r="C83" s="31"/>
      <c r="D83" s="31"/>
      <c r="E83" s="31"/>
      <c r="F83" s="31"/>
      <c r="G83" s="32"/>
      <c r="H83" s="31"/>
    </row>
    <row r="84" spans="1:8" ht="19.5" customHeight="1">
      <c r="A84" s="29"/>
      <c r="B84" s="29"/>
      <c r="C84" s="29"/>
      <c r="D84" s="29"/>
      <c r="E84" s="29"/>
      <c r="F84" s="29"/>
      <c r="G84" s="30"/>
      <c r="H84" s="29"/>
    </row>
    <row r="85" spans="1:8" ht="19.5" customHeight="1">
      <c r="A85" s="31"/>
      <c r="B85" s="31"/>
      <c r="C85" s="31"/>
      <c r="D85" s="31"/>
      <c r="E85" s="31"/>
      <c r="F85" s="31"/>
      <c r="G85" s="32"/>
      <c r="H85" s="31"/>
    </row>
    <row r="86" spans="1:8" ht="19.5" customHeight="1">
      <c r="A86" s="29"/>
      <c r="B86" s="29"/>
      <c r="C86" s="29"/>
      <c r="D86" s="29"/>
      <c r="E86" s="29"/>
      <c r="F86" s="29"/>
      <c r="G86" s="30"/>
      <c r="H86" s="29"/>
    </row>
    <row r="87" spans="1:8" ht="19.5" customHeight="1">
      <c r="A87" s="31"/>
      <c r="B87" s="31"/>
      <c r="C87" s="31"/>
      <c r="D87" s="31"/>
      <c r="E87" s="31"/>
      <c r="F87" s="31"/>
      <c r="G87" s="32"/>
      <c r="H87" s="31"/>
    </row>
    <row r="88" spans="1:8" ht="19.5" customHeight="1">
      <c r="A88" s="29"/>
      <c r="B88" s="29"/>
      <c r="C88" s="29"/>
      <c r="D88" s="29"/>
      <c r="E88" s="29"/>
      <c r="F88" s="29"/>
      <c r="G88" s="30"/>
      <c r="H88" s="29"/>
    </row>
    <row r="89" spans="1:8" ht="19.5" customHeight="1">
      <c r="A89" s="31"/>
      <c r="B89" s="31"/>
      <c r="C89" s="31"/>
      <c r="D89" s="31"/>
      <c r="E89" s="31"/>
      <c r="F89" s="31"/>
      <c r="G89" s="32"/>
      <c r="H89" s="31"/>
    </row>
    <row r="90" spans="1:8" ht="19.5" customHeight="1">
      <c r="A90" s="29"/>
      <c r="B90" s="29"/>
      <c r="C90" s="29"/>
      <c r="D90" s="29"/>
      <c r="E90" s="29"/>
      <c r="F90" s="29"/>
      <c r="G90" s="30"/>
      <c r="H90" s="29"/>
    </row>
    <row r="91" spans="1:8" ht="19.5" customHeight="1">
      <c r="A91" s="31"/>
      <c r="B91" s="31"/>
      <c r="C91" s="31"/>
      <c r="D91" s="31"/>
      <c r="E91" s="31"/>
      <c r="F91" s="31"/>
      <c r="G91" s="32"/>
      <c r="H91" s="31"/>
    </row>
    <row r="92" spans="1:8" ht="19.5" customHeight="1">
      <c r="A92" s="29"/>
      <c r="B92" s="29"/>
      <c r="C92" s="29"/>
      <c r="D92" s="29"/>
      <c r="E92" s="29"/>
      <c r="F92" s="29"/>
      <c r="G92" s="30"/>
      <c r="H92" s="29"/>
    </row>
    <row r="93" spans="1:8" ht="19.5" customHeight="1">
      <c r="A93" s="31"/>
      <c r="B93" s="31"/>
      <c r="C93" s="31"/>
      <c r="D93" s="31"/>
      <c r="E93" s="31"/>
      <c r="F93" s="31"/>
      <c r="G93" s="32"/>
      <c r="H93" s="31"/>
    </row>
    <row r="94" spans="1:8" ht="19.5" customHeight="1">
      <c r="A94" s="29"/>
      <c r="B94" s="29"/>
      <c r="C94" s="29"/>
      <c r="D94" s="29"/>
      <c r="E94" s="29"/>
      <c r="F94" s="29"/>
      <c r="G94" s="30"/>
      <c r="H94" s="29"/>
    </row>
    <row r="95" spans="1:8" ht="19.5" customHeight="1">
      <c r="A95" s="31"/>
      <c r="B95" s="31"/>
      <c r="C95" s="31"/>
      <c r="D95" s="31"/>
      <c r="E95" s="31"/>
      <c r="F95" s="31"/>
      <c r="G95" s="32"/>
      <c r="H95" s="31"/>
    </row>
    <row r="96" spans="1:8" ht="19.5" customHeight="1">
      <c r="A96" s="29"/>
      <c r="B96" s="29"/>
      <c r="C96" s="29"/>
      <c r="D96" s="29"/>
      <c r="E96" s="29"/>
      <c r="F96" s="29"/>
      <c r="G96" s="30"/>
      <c r="H96" s="29"/>
    </row>
    <row r="97" spans="1:8" ht="19.5" customHeight="1">
      <c r="A97" s="31"/>
      <c r="B97" s="31"/>
      <c r="C97" s="31"/>
      <c r="D97" s="31"/>
      <c r="E97" s="31"/>
      <c r="F97" s="31"/>
      <c r="G97" s="32"/>
      <c r="H97" s="31"/>
    </row>
    <row r="98" spans="1:8" ht="19.5" customHeight="1">
      <c r="A98" s="29"/>
      <c r="B98" s="29"/>
      <c r="C98" s="29"/>
      <c r="D98" s="29"/>
      <c r="E98" s="29"/>
      <c r="F98" s="29"/>
      <c r="G98" s="30"/>
      <c r="H98" s="29"/>
    </row>
    <row r="99" spans="1:8" ht="19.5" customHeight="1">
      <c r="A99" s="31"/>
      <c r="B99" s="31"/>
      <c r="C99" s="31"/>
      <c r="D99" s="31"/>
      <c r="E99" s="31"/>
      <c r="F99" s="31"/>
      <c r="G99" s="32"/>
      <c r="H99" s="31"/>
    </row>
    <row r="100" spans="1:8" ht="19.5" customHeight="1">
      <c r="A100" s="29"/>
      <c r="B100" s="29"/>
      <c r="C100" s="29"/>
      <c r="D100" s="29"/>
      <c r="E100" s="29"/>
      <c r="F100" s="29"/>
      <c r="G100" s="30"/>
      <c r="H100" s="29"/>
    </row>
    <row r="101" spans="1:8" ht="19.5" customHeight="1">
      <c r="A101" s="31"/>
      <c r="B101" s="31"/>
      <c r="C101" s="31"/>
      <c r="D101" s="31"/>
      <c r="E101" s="31"/>
      <c r="F101" s="31"/>
      <c r="G101" s="32"/>
      <c r="H101" s="31"/>
    </row>
    <row r="102" spans="1:8" ht="19.5" customHeight="1">
      <c r="A102" s="29"/>
      <c r="B102" s="29"/>
      <c r="C102" s="29"/>
      <c r="D102" s="29"/>
      <c r="E102" s="29"/>
      <c r="F102" s="29"/>
      <c r="G102" s="30"/>
      <c r="H102" s="29"/>
    </row>
    <row r="103" spans="1:8" ht="19.5" customHeight="1">
      <c r="A103" s="31"/>
      <c r="B103" s="31"/>
      <c r="C103" s="31"/>
      <c r="D103" s="31"/>
      <c r="E103" s="31"/>
      <c r="F103" s="31"/>
      <c r="G103" s="32"/>
      <c r="H103" s="31"/>
    </row>
    <row r="104" spans="1:8" ht="19.5" customHeight="1">
      <c r="A104" s="29"/>
      <c r="B104" s="29"/>
      <c r="C104" s="29"/>
      <c r="D104" s="29"/>
      <c r="E104" s="29"/>
      <c r="F104" s="29"/>
      <c r="G104" s="30"/>
      <c r="H104" s="29"/>
    </row>
    <row r="105" spans="1:8" ht="19.5" customHeight="1">
      <c r="A105" s="31"/>
      <c r="B105" s="31"/>
      <c r="C105" s="31"/>
      <c r="D105" s="31"/>
      <c r="E105" s="31"/>
      <c r="F105" s="31"/>
      <c r="G105" s="32"/>
      <c r="H105" s="31"/>
    </row>
  </sheetData>
  <mergeCells count="2">
    <mergeCell ref="A1:J1"/>
    <mergeCell ref="A2:J2"/>
  </mergeCells>
  <phoneticPr fontId="37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8788"/>
  </sheetPr>
  <dimension ref="A1:J205"/>
  <sheetViews>
    <sheetView zoomScaleNormal="100" workbookViewId="0">
      <pane ySplit="3" topLeftCell="A4" activePane="bottomLeft" state="frozen"/>
      <selection pane="bottomLeft" sqref="A1:J1"/>
    </sheetView>
  </sheetViews>
  <sheetFormatPr defaultColWidth="8.6328125" defaultRowHeight="14.5"/>
  <cols>
    <col min="1" max="1" width="10" customWidth="1"/>
    <col min="2" max="2" width="13" customWidth="1"/>
    <col min="3" max="3" width="10" customWidth="1"/>
    <col min="4" max="4" width="16" customWidth="1"/>
    <col min="5" max="5" width="24" customWidth="1"/>
    <col min="6" max="6" width="8" customWidth="1"/>
    <col min="7" max="9" width="14" customWidth="1"/>
    <col min="10" max="10" width="20" customWidth="1"/>
  </cols>
  <sheetData>
    <row r="1" spans="1:10" ht="24" customHeight="1">
      <c r="A1" s="9" t="s">
        <v>69</v>
      </c>
      <c r="B1" s="9"/>
      <c r="C1" s="9"/>
      <c r="D1" s="9"/>
      <c r="E1" s="9"/>
      <c r="F1" s="9"/>
      <c r="G1" s="9"/>
      <c r="H1" s="9"/>
      <c r="I1" s="9"/>
      <c r="J1" s="9"/>
    </row>
    <row r="2" spans="1:10" ht="15.75" customHeight="1">
      <c r="A2" s="8" t="s">
        <v>70</v>
      </c>
      <c r="B2" s="8"/>
      <c r="C2" s="8"/>
      <c r="D2" s="8"/>
      <c r="E2" s="8"/>
      <c r="F2" s="8"/>
      <c r="G2" s="8"/>
      <c r="H2" s="8"/>
      <c r="I2" s="8"/>
      <c r="J2" s="8"/>
    </row>
    <row r="3" spans="1:10" ht="27.75" customHeight="1">
      <c r="A3" s="25" t="s">
        <v>71</v>
      </c>
      <c r="B3" s="25" t="s">
        <v>72</v>
      </c>
      <c r="C3" s="25" t="s">
        <v>48</v>
      </c>
      <c r="D3" s="25" t="s">
        <v>73</v>
      </c>
      <c r="E3" s="25" t="s">
        <v>74</v>
      </c>
      <c r="F3" s="25" t="s">
        <v>75</v>
      </c>
      <c r="G3" s="25" t="s">
        <v>76</v>
      </c>
      <c r="H3" s="25" t="s">
        <v>77</v>
      </c>
      <c r="I3" s="25" t="s">
        <v>78</v>
      </c>
      <c r="J3" s="25" t="s">
        <v>55</v>
      </c>
    </row>
    <row r="4" spans="1:10" ht="19.5" customHeight="1">
      <c r="A4" s="26" t="s">
        <v>79</v>
      </c>
      <c r="B4" s="28">
        <v>46174</v>
      </c>
      <c r="C4" s="26" t="s">
        <v>56</v>
      </c>
      <c r="D4" s="26"/>
      <c r="E4" s="27" t="s">
        <v>80</v>
      </c>
      <c r="F4" s="26">
        <v>1</v>
      </c>
      <c r="G4" s="33">
        <v>15000</v>
      </c>
      <c r="H4" s="33">
        <v>15000</v>
      </c>
      <c r="I4" s="27" t="s">
        <v>81</v>
      </c>
      <c r="J4" s="26"/>
    </row>
    <row r="5" spans="1:10" ht="19.5" customHeight="1">
      <c r="A5" s="26" t="s">
        <v>82</v>
      </c>
      <c r="B5" s="28">
        <v>46176</v>
      </c>
      <c r="C5" s="26" t="s">
        <v>62</v>
      </c>
      <c r="D5" s="26"/>
      <c r="E5" s="27" t="s">
        <v>83</v>
      </c>
      <c r="F5" s="26">
        <v>1</v>
      </c>
      <c r="G5" s="33">
        <v>5500</v>
      </c>
      <c r="H5" s="33">
        <v>5500</v>
      </c>
      <c r="I5" s="27" t="s">
        <v>84</v>
      </c>
      <c r="J5" s="26"/>
    </row>
    <row r="6" spans="1:10" ht="19.5" customHeight="1">
      <c r="A6" s="29"/>
      <c r="B6" s="30"/>
      <c r="C6" s="29"/>
      <c r="D6" s="34" t="str">
        <f>IFERROR(VLOOKUP(C6,【台帳】①顧客マスタ!$A$4:$B$105,2,0),"")</f>
        <v/>
      </c>
      <c r="E6" s="29"/>
      <c r="F6" s="29"/>
      <c r="G6" s="35"/>
      <c r="H6" s="36">
        <f t="shared" ref="H6:H37" si="0">IFERROR(F6*G6,"")</f>
        <v>0</v>
      </c>
      <c r="I6" s="29"/>
      <c r="J6" s="29"/>
    </row>
    <row r="7" spans="1:10" ht="19.5" customHeight="1">
      <c r="A7" s="31"/>
      <c r="B7" s="32"/>
      <c r="C7" s="31"/>
      <c r="D7" s="37" t="str">
        <f>IFERROR(VLOOKUP(C7,【台帳】①顧客マスタ!$A$4:$B$105,2,0),"")</f>
        <v/>
      </c>
      <c r="E7" s="31"/>
      <c r="F7" s="31"/>
      <c r="G7" s="38"/>
      <c r="H7" s="39">
        <f t="shared" si="0"/>
        <v>0</v>
      </c>
      <c r="I7" s="31"/>
      <c r="J7" s="31"/>
    </row>
    <row r="8" spans="1:10" ht="19.5" customHeight="1">
      <c r="A8" s="29"/>
      <c r="B8" s="30"/>
      <c r="C8" s="29"/>
      <c r="D8" s="34" t="str">
        <f>IFERROR(VLOOKUP(C8,【台帳】①顧客マスタ!$A$4:$B$105,2,0),"")</f>
        <v/>
      </c>
      <c r="E8" s="29"/>
      <c r="F8" s="29"/>
      <c r="G8" s="35"/>
      <c r="H8" s="36">
        <f t="shared" si="0"/>
        <v>0</v>
      </c>
      <c r="I8" s="29"/>
      <c r="J8" s="29"/>
    </row>
    <row r="9" spans="1:10" ht="19.5" customHeight="1">
      <c r="A9" s="31"/>
      <c r="B9" s="32"/>
      <c r="C9" s="31"/>
      <c r="D9" s="37" t="str">
        <f>IFERROR(VLOOKUP(C9,【台帳】①顧客マスタ!$A$4:$B$105,2,0),"")</f>
        <v/>
      </c>
      <c r="E9" s="31"/>
      <c r="F9" s="31"/>
      <c r="G9" s="38"/>
      <c r="H9" s="39">
        <f t="shared" si="0"/>
        <v>0</v>
      </c>
      <c r="I9" s="31"/>
      <c r="J9" s="31"/>
    </row>
    <row r="10" spans="1:10" ht="19.5" customHeight="1">
      <c r="A10" s="29"/>
      <c r="B10" s="30"/>
      <c r="C10" s="29"/>
      <c r="D10" s="34" t="str">
        <f>IFERROR(VLOOKUP(C10,【台帳】①顧客マスタ!$A$4:$B$105,2,0),"")</f>
        <v/>
      </c>
      <c r="E10" s="29"/>
      <c r="F10" s="29"/>
      <c r="G10" s="35"/>
      <c r="H10" s="36">
        <f t="shared" si="0"/>
        <v>0</v>
      </c>
      <c r="I10" s="29"/>
      <c r="J10" s="29"/>
    </row>
    <row r="11" spans="1:10" ht="19.5" customHeight="1">
      <c r="A11" s="31"/>
      <c r="B11" s="32"/>
      <c r="C11" s="31"/>
      <c r="D11" s="37" t="str">
        <f>IFERROR(VLOOKUP(C11,【台帳】①顧客マスタ!$A$4:$B$105,2,0),"")</f>
        <v/>
      </c>
      <c r="E11" s="31"/>
      <c r="F11" s="31"/>
      <c r="G11" s="38"/>
      <c r="H11" s="39">
        <f t="shared" si="0"/>
        <v>0</v>
      </c>
      <c r="I11" s="31"/>
      <c r="J11" s="31"/>
    </row>
    <row r="12" spans="1:10" ht="19.5" customHeight="1">
      <c r="A12" s="29"/>
      <c r="B12" s="30"/>
      <c r="C12" s="29"/>
      <c r="D12" s="34" t="str">
        <f>IFERROR(VLOOKUP(C12,【台帳】①顧客マスタ!$A$4:$B$105,2,0),"")</f>
        <v/>
      </c>
      <c r="E12" s="29"/>
      <c r="F12" s="29"/>
      <c r="G12" s="35"/>
      <c r="H12" s="36">
        <f t="shared" si="0"/>
        <v>0</v>
      </c>
      <c r="I12" s="29"/>
      <c r="J12" s="29"/>
    </row>
    <row r="13" spans="1:10" ht="19.5" customHeight="1">
      <c r="A13" s="31"/>
      <c r="B13" s="32"/>
      <c r="C13" s="31"/>
      <c r="D13" s="37" t="str">
        <f>IFERROR(VLOOKUP(C13,【台帳】①顧客マスタ!$A$4:$B$105,2,0),"")</f>
        <v/>
      </c>
      <c r="E13" s="31"/>
      <c r="F13" s="31"/>
      <c r="G13" s="38"/>
      <c r="H13" s="39">
        <f t="shared" si="0"/>
        <v>0</v>
      </c>
      <c r="I13" s="31"/>
      <c r="J13" s="31"/>
    </row>
    <row r="14" spans="1:10" ht="19.5" customHeight="1">
      <c r="A14" s="29"/>
      <c r="B14" s="30"/>
      <c r="C14" s="29"/>
      <c r="D14" s="34" t="str">
        <f>IFERROR(VLOOKUP(C14,【台帳】①顧客マスタ!$A$4:$B$105,2,0),"")</f>
        <v/>
      </c>
      <c r="E14" s="29"/>
      <c r="F14" s="29"/>
      <c r="G14" s="35"/>
      <c r="H14" s="36">
        <f t="shared" si="0"/>
        <v>0</v>
      </c>
      <c r="I14" s="29"/>
      <c r="J14" s="29"/>
    </row>
    <row r="15" spans="1:10" ht="19.5" customHeight="1">
      <c r="A15" s="31"/>
      <c r="B15" s="32"/>
      <c r="C15" s="31"/>
      <c r="D15" s="37" t="str">
        <f>IFERROR(VLOOKUP(C15,【台帳】①顧客マスタ!$A$4:$B$105,2,0),"")</f>
        <v/>
      </c>
      <c r="E15" s="31"/>
      <c r="F15" s="31"/>
      <c r="G15" s="38"/>
      <c r="H15" s="39">
        <f t="shared" si="0"/>
        <v>0</v>
      </c>
      <c r="I15" s="31"/>
      <c r="J15" s="31"/>
    </row>
    <row r="16" spans="1:10" ht="19.5" customHeight="1">
      <c r="A16" s="29"/>
      <c r="B16" s="30"/>
      <c r="C16" s="29"/>
      <c r="D16" s="34" t="str">
        <f>IFERROR(VLOOKUP(C16,【台帳】①顧客マスタ!$A$4:$B$105,2,0),"")</f>
        <v/>
      </c>
      <c r="E16" s="29"/>
      <c r="F16" s="29"/>
      <c r="G16" s="35"/>
      <c r="H16" s="36">
        <f t="shared" si="0"/>
        <v>0</v>
      </c>
      <c r="I16" s="29"/>
      <c r="J16" s="29"/>
    </row>
    <row r="17" spans="1:10" ht="19.5" customHeight="1">
      <c r="A17" s="31"/>
      <c r="B17" s="32"/>
      <c r="C17" s="31"/>
      <c r="D17" s="37" t="str">
        <f>IFERROR(VLOOKUP(C17,【台帳】①顧客マスタ!$A$4:$B$105,2,0),"")</f>
        <v/>
      </c>
      <c r="E17" s="31"/>
      <c r="F17" s="31"/>
      <c r="G17" s="38"/>
      <c r="H17" s="39">
        <f t="shared" si="0"/>
        <v>0</v>
      </c>
      <c r="I17" s="31"/>
      <c r="J17" s="31"/>
    </row>
    <row r="18" spans="1:10" ht="19.5" customHeight="1">
      <c r="A18" s="29"/>
      <c r="B18" s="30"/>
      <c r="C18" s="29"/>
      <c r="D18" s="34" t="str">
        <f>IFERROR(VLOOKUP(C18,【台帳】①顧客マスタ!$A$4:$B$105,2,0),"")</f>
        <v/>
      </c>
      <c r="E18" s="29"/>
      <c r="F18" s="29"/>
      <c r="G18" s="35"/>
      <c r="H18" s="36">
        <f t="shared" si="0"/>
        <v>0</v>
      </c>
      <c r="I18" s="29"/>
      <c r="J18" s="29"/>
    </row>
    <row r="19" spans="1:10" ht="19.5" customHeight="1">
      <c r="A19" s="31"/>
      <c r="B19" s="32"/>
      <c r="C19" s="31"/>
      <c r="D19" s="37" t="str">
        <f>IFERROR(VLOOKUP(C19,【台帳】①顧客マスタ!$A$4:$B$105,2,0),"")</f>
        <v/>
      </c>
      <c r="E19" s="31"/>
      <c r="F19" s="31"/>
      <c r="G19" s="38"/>
      <c r="H19" s="39">
        <f t="shared" si="0"/>
        <v>0</v>
      </c>
      <c r="I19" s="31"/>
      <c r="J19" s="31"/>
    </row>
    <row r="20" spans="1:10" ht="19.5" customHeight="1">
      <c r="A20" s="29"/>
      <c r="B20" s="30"/>
      <c r="C20" s="29"/>
      <c r="D20" s="34" t="str">
        <f>IFERROR(VLOOKUP(C20,【台帳】①顧客マスタ!$A$4:$B$105,2,0),"")</f>
        <v/>
      </c>
      <c r="E20" s="29"/>
      <c r="F20" s="29"/>
      <c r="G20" s="35"/>
      <c r="H20" s="36">
        <f t="shared" si="0"/>
        <v>0</v>
      </c>
      <c r="I20" s="29"/>
      <c r="J20" s="29"/>
    </row>
    <row r="21" spans="1:10" ht="19.5" customHeight="1">
      <c r="A21" s="31"/>
      <c r="B21" s="32"/>
      <c r="C21" s="31"/>
      <c r="D21" s="37" t="str">
        <f>IFERROR(VLOOKUP(C21,【台帳】①顧客マスタ!$A$4:$B$105,2,0),"")</f>
        <v/>
      </c>
      <c r="E21" s="31"/>
      <c r="F21" s="31"/>
      <c r="G21" s="38"/>
      <c r="H21" s="39">
        <f t="shared" si="0"/>
        <v>0</v>
      </c>
      <c r="I21" s="31"/>
      <c r="J21" s="31"/>
    </row>
    <row r="22" spans="1:10" ht="19.5" customHeight="1">
      <c r="A22" s="29"/>
      <c r="B22" s="30"/>
      <c r="C22" s="29"/>
      <c r="D22" s="34" t="str">
        <f>IFERROR(VLOOKUP(C22,【台帳】①顧客マスタ!$A$4:$B$105,2,0),"")</f>
        <v/>
      </c>
      <c r="E22" s="29"/>
      <c r="F22" s="29"/>
      <c r="G22" s="35"/>
      <c r="H22" s="36">
        <f t="shared" si="0"/>
        <v>0</v>
      </c>
      <c r="I22" s="29"/>
      <c r="J22" s="29"/>
    </row>
    <row r="23" spans="1:10" ht="19.5" customHeight="1">
      <c r="A23" s="31"/>
      <c r="B23" s="32"/>
      <c r="C23" s="31"/>
      <c r="D23" s="37" t="str">
        <f>IFERROR(VLOOKUP(C23,【台帳】①顧客マスタ!$A$4:$B$105,2,0),"")</f>
        <v/>
      </c>
      <c r="E23" s="31"/>
      <c r="F23" s="31"/>
      <c r="G23" s="38"/>
      <c r="H23" s="39">
        <f t="shared" si="0"/>
        <v>0</v>
      </c>
      <c r="I23" s="31"/>
      <c r="J23" s="31"/>
    </row>
    <row r="24" spans="1:10" ht="19.5" customHeight="1">
      <c r="A24" s="29"/>
      <c r="B24" s="30"/>
      <c r="C24" s="29"/>
      <c r="D24" s="34" t="str">
        <f>IFERROR(VLOOKUP(C24,【台帳】①顧客マスタ!$A$4:$B$105,2,0),"")</f>
        <v/>
      </c>
      <c r="E24" s="29"/>
      <c r="F24" s="29"/>
      <c r="G24" s="35"/>
      <c r="H24" s="36">
        <f t="shared" si="0"/>
        <v>0</v>
      </c>
      <c r="I24" s="29"/>
      <c r="J24" s="29"/>
    </row>
    <row r="25" spans="1:10" ht="19.5" customHeight="1">
      <c r="A25" s="31"/>
      <c r="B25" s="32"/>
      <c r="C25" s="31"/>
      <c r="D25" s="37" t="str">
        <f>IFERROR(VLOOKUP(C25,【台帳】①顧客マスタ!$A$4:$B$105,2,0),"")</f>
        <v/>
      </c>
      <c r="E25" s="31"/>
      <c r="F25" s="31"/>
      <c r="G25" s="38"/>
      <c r="H25" s="39">
        <f t="shared" si="0"/>
        <v>0</v>
      </c>
      <c r="I25" s="31"/>
      <c r="J25" s="31"/>
    </row>
    <row r="26" spans="1:10" ht="19.5" customHeight="1">
      <c r="A26" s="29"/>
      <c r="B26" s="30"/>
      <c r="C26" s="29"/>
      <c r="D26" s="34" t="str">
        <f>IFERROR(VLOOKUP(C26,【台帳】①顧客マスタ!$A$4:$B$105,2,0),"")</f>
        <v/>
      </c>
      <c r="E26" s="29"/>
      <c r="F26" s="29"/>
      <c r="G26" s="35"/>
      <c r="H26" s="36">
        <f t="shared" si="0"/>
        <v>0</v>
      </c>
      <c r="I26" s="29"/>
      <c r="J26" s="29"/>
    </row>
    <row r="27" spans="1:10" ht="19.5" customHeight="1">
      <c r="A27" s="31"/>
      <c r="B27" s="32"/>
      <c r="C27" s="31"/>
      <c r="D27" s="37" t="str">
        <f>IFERROR(VLOOKUP(C27,【台帳】①顧客マスタ!$A$4:$B$105,2,0),"")</f>
        <v/>
      </c>
      <c r="E27" s="31"/>
      <c r="F27" s="31"/>
      <c r="G27" s="38"/>
      <c r="H27" s="39">
        <f t="shared" si="0"/>
        <v>0</v>
      </c>
      <c r="I27" s="31"/>
      <c r="J27" s="31"/>
    </row>
    <row r="28" spans="1:10" ht="19.5" customHeight="1">
      <c r="A28" s="29"/>
      <c r="B28" s="30"/>
      <c r="C28" s="29"/>
      <c r="D28" s="34" t="str">
        <f>IFERROR(VLOOKUP(C28,【台帳】①顧客マスタ!$A$4:$B$105,2,0),"")</f>
        <v/>
      </c>
      <c r="E28" s="29"/>
      <c r="F28" s="29"/>
      <c r="G28" s="35"/>
      <c r="H28" s="36">
        <f t="shared" si="0"/>
        <v>0</v>
      </c>
      <c r="I28" s="29"/>
      <c r="J28" s="29"/>
    </row>
    <row r="29" spans="1:10" ht="19.5" customHeight="1">
      <c r="A29" s="31"/>
      <c r="B29" s="32"/>
      <c r="C29" s="31"/>
      <c r="D29" s="37" t="str">
        <f>IFERROR(VLOOKUP(C29,【台帳】①顧客マスタ!$A$4:$B$105,2,0),"")</f>
        <v/>
      </c>
      <c r="E29" s="31"/>
      <c r="F29" s="31"/>
      <c r="G29" s="38"/>
      <c r="H29" s="39">
        <f t="shared" si="0"/>
        <v>0</v>
      </c>
      <c r="I29" s="31"/>
      <c r="J29" s="31"/>
    </row>
    <row r="30" spans="1:10" ht="19.5" customHeight="1">
      <c r="A30" s="29"/>
      <c r="B30" s="30"/>
      <c r="C30" s="29"/>
      <c r="D30" s="34" t="str">
        <f>IFERROR(VLOOKUP(C30,【台帳】①顧客マスタ!$A$4:$B$105,2,0),"")</f>
        <v/>
      </c>
      <c r="E30" s="29"/>
      <c r="F30" s="29"/>
      <c r="G30" s="35"/>
      <c r="H30" s="36">
        <f t="shared" si="0"/>
        <v>0</v>
      </c>
      <c r="I30" s="29"/>
      <c r="J30" s="29"/>
    </row>
    <row r="31" spans="1:10" ht="19.5" customHeight="1">
      <c r="A31" s="31"/>
      <c r="B31" s="32"/>
      <c r="C31" s="31"/>
      <c r="D31" s="37" t="str">
        <f>IFERROR(VLOOKUP(C31,【台帳】①顧客マスタ!$A$4:$B$105,2,0),"")</f>
        <v/>
      </c>
      <c r="E31" s="31"/>
      <c r="F31" s="31"/>
      <c r="G31" s="38"/>
      <c r="H31" s="39">
        <f t="shared" si="0"/>
        <v>0</v>
      </c>
      <c r="I31" s="31"/>
      <c r="J31" s="31"/>
    </row>
    <row r="32" spans="1:10" ht="19.5" customHeight="1">
      <c r="A32" s="29"/>
      <c r="B32" s="30"/>
      <c r="C32" s="29"/>
      <c r="D32" s="34" t="str">
        <f>IFERROR(VLOOKUP(C32,【台帳】①顧客マスタ!$A$4:$B$105,2,0),"")</f>
        <v/>
      </c>
      <c r="E32" s="29"/>
      <c r="F32" s="29"/>
      <c r="G32" s="35"/>
      <c r="H32" s="36">
        <f t="shared" si="0"/>
        <v>0</v>
      </c>
      <c r="I32" s="29"/>
      <c r="J32" s="29"/>
    </row>
    <row r="33" spans="1:10" ht="19.5" customHeight="1">
      <c r="A33" s="31"/>
      <c r="B33" s="32"/>
      <c r="C33" s="31"/>
      <c r="D33" s="37" t="str">
        <f>IFERROR(VLOOKUP(C33,【台帳】①顧客マスタ!$A$4:$B$105,2,0),"")</f>
        <v/>
      </c>
      <c r="E33" s="31"/>
      <c r="F33" s="31"/>
      <c r="G33" s="38"/>
      <c r="H33" s="39">
        <f t="shared" si="0"/>
        <v>0</v>
      </c>
      <c r="I33" s="31"/>
      <c r="J33" s="31"/>
    </row>
    <row r="34" spans="1:10" ht="19.5" customHeight="1">
      <c r="A34" s="29"/>
      <c r="B34" s="30"/>
      <c r="C34" s="29"/>
      <c r="D34" s="34" t="str">
        <f>IFERROR(VLOOKUP(C34,【台帳】①顧客マスタ!$A$4:$B$105,2,0),"")</f>
        <v/>
      </c>
      <c r="E34" s="29"/>
      <c r="F34" s="29"/>
      <c r="G34" s="35"/>
      <c r="H34" s="36">
        <f t="shared" si="0"/>
        <v>0</v>
      </c>
      <c r="I34" s="29"/>
      <c r="J34" s="29"/>
    </row>
    <row r="35" spans="1:10" ht="19.5" customHeight="1">
      <c r="A35" s="31"/>
      <c r="B35" s="32"/>
      <c r="C35" s="31"/>
      <c r="D35" s="37" t="str">
        <f>IFERROR(VLOOKUP(C35,【台帳】①顧客マスタ!$A$4:$B$105,2,0),"")</f>
        <v/>
      </c>
      <c r="E35" s="31"/>
      <c r="F35" s="31"/>
      <c r="G35" s="38"/>
      <c r="H35" s="39">
        <f t="shared" si="0"/>
        <v>0</v>
      </c>
      <c r="I35" s="31"/>
      <c r="J35" s="31"/>
    </row>
    <row r="36" spans="1:10" ht="19.5" customHeight="1">
      <c r="A36" s="29"/>
      <c r="B36" s="30"/>
      <c r="C36" s="29"/>
      <c r="D36" s="34" t="str">
        <f>IFERROR(VLOOKUP(C36,【台帳】①顧客マスタ!$A$4:$B$105,2,0),"")</f>
        <v/>
      </c>
      <c r="E36" s="29"/>
      <c r="F36" s="29"/>
      <c r="G36" s="35"/>
      <c r="H36" s="36">
        <f t="shared" si="0"/>
        <v>0</v>
      </c>
      <c r="I36" s="29"/>
      <c r="J36" s="29"/>
    </row>
    <row r="37" spans="1:10" ht="19.5" customHeight="1">
      <c r="A37" s="31"/>
      <c r="B37" s="32"/>
      <c r="C37" s="31"/>
      <c r="D37" s="37" t="str">
        <f>IFERROR(VLOOKUP(C37,【台帳】①顧客マスタ!$A$4:$B$105,2,0),"")</f>
        <v/>
      </c>
      <c r="E37" s="31"/>
      <c r="F37" s="31"/>
      <c r="G37" s="38"/>
      <c r="H37" s="39">
        <f t="shared" si="0"/>
        <v>0</v>
      </c>
      <c r="I37" s="31"/>
      <c r="J37" s="31"/>
    </row>
    <row r="38" spans="1:10" ht="19.5" customHeight="1">
      <c r="A38" s="29"/>
      <c r="B38" s="30"/>
      <c r="C38" s="29"/>
      <c r="D38" s="34" t="str">
        <f>IFERROR(VLOOKUP(C38,【台帳】①顧客マスタ!$A$4:$B$105,2,0),"")</f>
        <v/>
      </c>
      <c r="E38" s="29"/>
      <c r="F38" s="29"/>
      <c r="G38" s="35"/>
      <c r="H38" s="36">
        <f t="shared" ref="H38:H69" si="1">IFERROR(F38*G38,"")</f>
        <v>0</v>
      </c>
      <c r="I38" s="29"/>
      <c r="J38" s="29"/>
    </row>
    <row r="39" spans="1:10" ht="19.5" customHeight="1">
      <c r="A39" s="31"/>
      <c r="B39" s="32"/>
      <c r="C39" s="31"/>
      <c r="D39" s="37" t="str">
        <f>IFERROR(VLOOKUP(C39,【台帳】①顧客マスタ!$A$4:$B$105,2,0),"")</f>
        <v/>
      </c>
      <c r="E39" s="31"/>
      <c r="F39" s="31"/>
      <c r="G39" s="38"/>
      <c r="H39" s="39">
        <f t="shared" si="1"/>
        <v>0</v>
      </c>
      <c r="I39" s="31"/>
      <c r="J39" s="31"/>
    </row>
    <row r="40" spans="1:10" ht="19.5" customHeight="1">
      <c r="A40" s="29"/>
      <c r="B40" s="30"/>
      <c r="C40" s="29"/>
      <c r="D40" s="34" t="str">
        <f>IFERROR(VLOOKUP(C40,【台帳】①顧客マスタ!$A$4:$B$105,2,0),"")</f>
        <v/>
      </c>
      <c r="E40" s="29"/>
      <c r="F40" s="29"/>
      <c r="G40" s="35"/>
      <c r="H40" s="36">
        <f t="shared" si="1"/>
        <v>0</v>
      </c>
      <c r="I40" s="29"/>
      <c r="J40" s="29"/>
    </row>
    <row r="41" spans="1:10" ht="19.5" customHeight="1">
      <c r="A41" s="31"/>
      <c r="B41" s="32"/>
      <c r="C41" s="31"/>
      <c r="D41" s="37" t="str">
        <f>IFERROR(VLOOKUP(C41,【台帳】①顧客マスタ!$A$4:$B$105,2,0),"")</f>
        <v/>
      </c>
      <c r="E41" s="31"/>
      <c r="F41" s="31"/>
      <c r="G41" s="38"/>
      <c r="H41" s="39">
        <f t="shared" si="1"/>
        <v>0</v>
      </c>
      <c r="I41" s="31"/>
      <c r="J41" s="31"/>
    </row>
    <row r="42" spans="1:10" ht="19.5" customHeight="1">
      <c r="A42" s="29"/>
      <c r="B42" s="30"/>
      <c r="C42" s="29"/>
      <c r="D42" s="34" t="str">
        <f>IFERROR(VLOOKUP(C42,【台帳】①顧客マスタ!$A$4:$B$105,2,0),"")</f>
        <v/>
      </c>
      <c r="E42" s="29"/>
      <c r="F42" s="29"/>
      <c r="G42" s="35"/>
      <c r="H42" s="36">
        <f t="shared" si="1"/>
        <v>0</v>
      </c>
      <c r="I42" s="29"/>
      <c r="J42" s="29"/>
    </row>
    <row r="43" spans="1:10" ht="19.5" customHeight="1">
      <c r="A43" s="31"/>
      <c r="B43" s="32"/>
      <c r="C43" s="31"/>
      <c r="D43" s="37" t="str">
        <f>IFERROR(VLOOKUP(C43,【台帳】①顧客マスタ!$A$4:$B$105,2,0),"")</f>
        <v/>
      </c>
      <c r="E43" s="31"/>
      <c r="F43" s="31"/>
      <c r="G43" s="38"/>
      <c r="H43" s="39">
        <f t="shared" si="1"/>
        <v>0</v>
      </c>
      <c r="I43" s="31"/>
      <c r="J43" s="31"/>
    </row>
    <row r="44" spans="1:10" ht="19.5" customHeight="1">
      <c r="A44" s="29"/>
      <c r="B44" s="30"/>
      <c r="C44" s="29"/>
      <c r="D44" s="34" t="str">
        <f>IFERROR(VLOOKUP(C44,【台帳】①顧客マスタ!$A$4:$B$105,2,0),"")</f>
        <v/>
      </c>
      <c r="E44" s="29"/>
      <c r="F44" s="29"/>
      <c r="G44" s="35"/>
      <c r="H44" s="36">
        <f t="shared" si="1"/>
        <v>0</v>
      </c>
      <c r="I44" s="29"/>
      <c r="J44" s="29"/>
    </row>
    <row r="45" spans="1:10" ht="19.5" customHeight="1">
      <c r="A45" s="31"/>
      <c r="B45" s="32"/>
      <c r="C45" s="31"/>
      <c r="D45" s="37" t="str">
        <f>IFERROR(VLOOKUP(C45,【台帳】①顧客マスタ!$A$4:$B$105,2,0),"")</f>
        <v/>
      </c>
      <c r="E45" s="31"/>
      <c r="F45" s="31"/>
      <c r="G45" s="38"/>
      <c r="H45" s="39">
        <f t="shared" si="1"/>
        <v>0</v>
      </c>
      <c r="I45" s="31"/>
      <c r="J45" s="31"/>
    </row>
    <row r="46" spans="1:10" ht="19.5" customHeight="1">
      <c r="A46" s="29"/>
      <c r="B46" s="30"/>
      <c r="C46" s="29"/>
      <c r="D46" s="34" t="str">
        <f>IFERROR(VLOOKUP(C46,【台帳】①顧客マスタ!$A$4:$B$105,2,0),"")</f>
        <v/>
      </c>
      <c r="E46" s="29"/>
      <c r="F46" s="29"/>
      <c r="G46" s="35"/>
      <c r="H46" s="36">
        <f t="shared" si="1"/>
        <v>0</v>
      </c>
      <c r="I46" s="29"/>
      <c r="J46" s="29"/>
    </row>
    <row r="47" spans="1:10" ht="19.5" customHeight="1">
      <c r="A47" s="31"/>
      <c r="B47" s="32"/>
      <c r="C47" s="31"/>
      <c r="D47" s="37" t="str">
        <f>IFERROR(VLOOKUP(C47,【台帳】①顧客マスタ!$A$4:$B$105,2,0),"")</f>
        <v/>
      </c>
      <c r="E47" s="31"/>
      <c r="F47" s="31"/>
      <c r="G47" s="38"/>
      <c r="H47" s="39">
        <f t="shared" si="1"/>
        <v>0</v>
      </c>
      <c r="I47" s="31"/>
      <c r="J47" s="31"/>
    </row>
    <row r="48" spans="1:10" ht="19.5" customHeight="1">
      <c r="A48" s="29"/>
      <c r="B48" s="30"/>
      <c r="C48" s="29"/>
      <c r="D48" s="34" t="str">
        <f>IFERROR(VLOOKUP(C48,【台帳】①顧客マスタ!$A$4:$B$105,2,0),"")</f>
        <v/>
      </c>
      <c r="E48" s="29"/>
      <c r="F48" s="29"/>
      <c r="G48" s="35"/>
      <c r="H48" s="36">
        <f t="shared" si="1"/>
        <v>0</v>
      </c>
      <c r="I48" s="29"/>
      <c r="J48" s="29"/>
    </row>
    <row r="49" spans="1:10" ht="19.5" customHeight="1">
      <c r="A49" s="31"/>
      <c r="B49" s="32"/>
      <c r="C49" s="31"/>
      <c r="D49" s="37" t="str">
        <f>IFERROR(VLOOKUP(C49,【台帳】①顧客マスタ!$A$4:$B$105,2,0),"")</f>
        <v/>
      </c>
      <c r="E49" s="31"/>
      <c r="F49" s="31"/>
      <c r="G49" s="38"/>
      <c r="H49" s="39">
        <f t="shared" si="1"/>
        <v>0</v>
      </c>
      <c r="I49" s="31"/>
      <c r="J49" s="31"/>
    </row>
    <row r="50" spans="1:10" ht="19.5" customHeight="1">
      <c r="A50" s="29"/>
      <c r="B50" s="30"/>
      <c r="C50" s="29"/>
      <c r="D50" s="34" t="str">
        <f>IFERROR(VLOOKUP(C50,【台帳】①顧客マスタ!$A$4:$B$105,2,0),"")</f>
        <v/>
      </c>
      <c r="E50" s="29"/>
      <c r="F50" s="29"/>
      <c r="G50" s="35"/>
      <c r="H50" s="36">
        <f t="shared" si="1"/>
        <v>0</v>
      </c>
      <c r="I50" s="29"/>
      <c r="J50" s="29"/>
    </row>
    <row r="51" spans="1:10" ht="19.5" customHeight="1">
      <c r="A51" s="31"/>
      <c r="B51" s="32"/>
      <c r="C51" s="31"/>
      <c r="D51" s="37" t="str">
        <f>IFERROR(VLOOKUP(C51,【台帳】①顧客マスタ!$A$4:$B$105,2,0),"")</f>
        <v/>
      </c>
      <c r="E51" s="31"/>
      <c r="F51" s="31"/>
      <c r="G51" s="38"/>
      <c r="H51" s="39">
        <f t="shared" si="1"/>
        <v>0</v>
      </c>
      <c r="I51" s="31"/>
      <c r="J51" s="31"/>
    </row>
    <row r="52" spans="1:10" ht="19.5" customHeight="1">
      <c r="A52" s="29"/>
      <c r="B52" s="30"/>
      <c r="C52" s="29"/>
      <c r="D52" s="34" t="str">
        <f>IFERROR(VLOOKUP(C52,【台帳】①顧客マスタ!$A$4:$B$105,2,0),"")</f>
        <v/>
      </c>
      <c r="E52" s="29"/>
      <c r="F52" s="29"/>
      <c r="G52" s="35"/>
      <c r="H52" s="36">
        <f t="shared" si="1"/>
        <v>0</v>
      </c>
      <c r="I52" s="29"/>
      <c r="J52" s="29"/>
    </row>
    <row r="53" spans="1:10" ht="19.5" customHeight="1">
      <c r="A53" s="31"/>
      <c r="B53" s="32"/>
      <c r="C53" s="31"/>
      <c r="D53" s="37" t="str">
        <f>IFERROR(VLOOKUP(C53,【台帳】①顧客マスタ!$A$4:$B$105,2,0),"")</f>
        <v/>
      </c>
      <c r="E53" s="31"/>
      <c r="F53" s="31"/>
      <c r="G53" s="38"/>
      <c r="H53" s="39">
        <f t="shared" si="1"/>
        <v>0</v>
      </c>
      <c r="I53" s="31"/>
      <c r="J53" s="31"/>
    </row>
    <row r="54" spans="1:10" ht="19.5" customHeight="1">
      <c r="A54" s="29"/>
      <c r="B54" s="30"/>
      <c r="C54" s="29"/>
      <c r="D54" s="34" t="str">
        <f>IFERROR(VLOOKUP(C54,【台帳】①顧客マスタ!$A$4:$B$105,2,0),"")</f>
        <v/>
      </c>
      <c r="E54" s="29"/>
      <c r="F54" s="29"/>
      <c r="G54" s="35"/>
      <c r="H54" s="36">
        <f t="shared" si="1"/>
        <v>0</v>
      </c>
      <c r="I54" s="29"/>
      <c r="J54" s="29"/>
    </row>
    <row r="55" spans="1:10" ht="19.5" customHeight="1">
      <c r="A55" s="31"/>
      <c r="B55" s="32"/>
      <c r="C55" s="31"/>
      <c r="D55" s="37" t="str">
        <f>IFERROR(VLOOKUP(C55,【台帳】①顧客マスタ!$A$4:$B$105,2,0),"")</f>
        <v/>
      </c>
      <c r="E55" s="31"/>
      <c r="F55" s="31"/>
      <c r="G55" s="38"/>
      <c r="H55" s="39">
        <f t="shared" si="1"/>
        <v>0</v>
      </c>
      <c r="I55" s="31"/>
      <c r="J55" s="31"/>
    </row>
    <row r="56" spans="1:10" ht="19.5" customHeight="1">
      <c r="A56" s="29"/>
      <c r="B56" s="30"/>
      <c r="C56" s="29"/>
      <c r="D56" s="34" t="str">
        <f>IFERROR(VLOOKUP(C56,【台帳】①顧客マスタ!$A$4:$B$105,2,0),"")</f>
        <v/>
      </c>
      <c r="E56" s="29"/>
      <c r="F56" s="29"/>
      <c r="G56" s="35"/>
      <c r="H56" s="36">
        <f t="shared" si="1"/>
        <v>0</v>
      </c>
      <c r="I56" s="29"/>
      <c r="J56" s="29"/>
    </row>
    <row r="57" spans="1:10" ht="19.5" customHeight="1">
      <c r="A57" s="31"/>
      <c r="B57" s="32"/>
      <c r="C57" s="31"/>
      <c r="D57" s="37" t="str">
        <f>IFERROR(VLOOKUP(C57,【台帳】①顧客マスタ!$A$4:$B$105,2,0),"")</f>
        <v/>
      </c>
      <c r="E57" s="31"/>
      <c r="F57" s="31"/>
      <c r="G57" s="38"/>
      <c r="H57" s="39">
        <f t="shared" si="1"/>
        <v>0</v>
      </c>
      <c r="I57" s="31"/>
      <c r="J57" s="31"/>
    </row>
    <row r="58" spans="1:10" ht="19.5" customHeight="1">
      <c r="A58" s="29"/>
      <c r="B58" s="30"/>
      <c r="C58" s="29"/>
      <c r="D58" s="34" t="str">
        <f>IFERROR(VLOOKUP(C58,【台帳】①顧客マスタ!$A$4:$B$105,2,0),"")</f>
        <v/>
      </c>
      <c r="E58" s="29"/>
      <c r="F58" s="29"/>
      <c r="G58" s="35"/>
      <c r="H58" s="36">
        <f t="shared" si="1"/>
        <v>0</v>
      </c>
      <c r="I58" s="29"/>
      <c r="J58" s="29"/>
    </row>
    <row r="59" spans="1:10" ht="19.5" customHeight="1">
      <c r="A59" s="31"/>
      <c r="B59" s="32"/>
      <c r="C59" s="31"/>
      <c r="D59" s="37" t="str">
        <f>IFERROR(VLOOKUP(C59,【台帳】①顧客マスタ!$A$4:$B$105,2,0),"")</f>
        <v/>
      </c>
      <c r="E59" s="31"/>
      <c r="F59" s="31"/>
      <c r="G59" s="38"/>
      <c r="H59" s="39">
        <f t="shared" si="1"/>
        <v>0</v>
      </c>
      <c r="I59" s="31"/>
      <c r="J59" s="31"/>
    </row>
    <row r="60" spans="1:10" ht="19.5" customHeight="1">
      <c r="A60" s="29"/>
      <c r="B60" s="30"/>
      <c r="C60" s="29"/>
      <c r="D60" s="34" t="str">
        <f>IFERROR(VLOOKUP(C60,【台帳】①顧客マスタ!$A$4:$B$105,2,0),"")</f>
        <v/>
      </c>
      <c r="E60" s="29"/>
      <c r="F60" s="29"/>
      <c r="G60" s="35"/>
      <c r="H60" s="36">
        <f t="shared" si="1"/>
        <v>0</v>
      </c>
      <c r="I60" s="29"/>
      <c r="J60" s="29"/>
    </row>
    <row r="61" spans="1:10" ht="19.5" customHeight="1">
      <c r="A61" s="31"/>
      <c r="B61" s="32"/>
      <c r="C61" s="31"/>
      <c r="D61" s="37" t="str">
        <f>IFERROR(VLOOKUP(C61,【台帳】①顧客マスタ!$A$4:$B$105,2,0),"")</f>
        <v/>
      </c>
      <c r="E61" s="31"/>
      <c r="F61" s="31"/>
      <c r="G61" s="38"/>
      <c r="H61" s="39">
        <f t="shared" si="1"/>
        <v>0</v>
      </c>
      <c r="I61" s="31"/>
      <c r="J61" s="31"/>
    </row>
    <row r="62" spans="1:10" ht="19.5" customHeight="1">
      <c r="A62" s="29"/>
      <c r="B62" s="30"/>
      <c r="C62" s="29"/>
      <c r="D62" s="34" t="str">
        <f>IFERROR(VLOOKUP(C62,【台帳】①顧客マスタ!$A$4:$B$105,2,0),"")</f>
        <v/>
      </c>
      <c r="E62" s="29"/>
      <c r="F62" s="29"/>
      <c r="G62" s="35"/>
      <c r="H62" s="36">
        <f t="shared" si="1"/>
        <v>0</v>
      </c>
      <c r="I62" s="29"/>
      <c r="J62" s="29"/>
    </row>
    <row r="63" spans="1:10" ht="19.5" customHeight="1">
      <c r="A63" s="31"/>
      <c r="B63" s="32"/>
      <c r="C63" s="31"/>
      <c r="D63" s="37" t="str">
        <f>IFERROR(VLOOKUP(C63,【台帳】①顧客マスタ!$A$4:$B$105,2,0),"")</f>
        <v/>
      </c>
      <c r="E63" s="31"/>
      <c r="F63" s="31"/>
      <c r="G63" s="38"/>
      <c r="H63" s="39">
        <f t="shared" si="1"/>
        <v>0</v>
      </c>
      <c r="I63" s="31"/>
      <c r="J63" s="31"/>
    </row>
    <row r="64" spans="1:10" ht="19.5" customHeight="1">
      <c r="A64" s="29"/>
      <c r="B64" s="30"/>
      <c r="C64" s="29"/>
      <c r="D64" s="34" t="str">
        <f>IFERROR(VLOOKUP(C64,【台帳】①顧客マスタ!$A$4:$B$105,2,0),"")</f>
        <v/>
      </c>
      <c r="E64" s="29"/>
      <c r="F64" s="29"/>
      <c r="G64" s="35"/>
      <c r="H64" s="36">
        <f t="shared" si="1"/>
        <v>0</v>
      </c>
      <c r="I64" s="29"/>
      <c r="J64" s="29"/>
    </row>
    <row r="65" spans="1:10" ht="19.5" customHeight="1">
      <c r="A65" s="31"/>
      <c r="B65" s="32"/>
      <c r="C65" s="31"/>
      <c r="D65" s="37" t="str">
        <f>IFERROR(VLOOKUP(C65,【台帳】①顧客マスタ!$A$4:$B$105,2,0),"")</f>
        <v/>
      </c>
      <c r="E65" s="31"/>
      <c r="F65" s="31"/>
      <c r="G65" s="38"/>
      <c r="H65" s="39">
        <f t="shared" si="1"/>
        <v>0</v>
      </c>
      <c r="I65" s="31"/>
      <c r="J65" s="31"/>
    </row>
    <row r="66" spans="1:10" ht="19.5" customHeight="1">
      <c r="A66" s="29"/>
      <c r="B66" s="30"/>
      <c r="C66" s="29"/>
      <c r="D66" s="34" t="str">
        <f>IFERROR(VLOOKUP(C66,【台帳】①顧客マスタ!$A$4:$B$105,2,0),"")</f>
        <v/>
      </c>
      <c r="E66" s="29"/>
      <c r="F66" s="29"/>
      <c r="G66" s="35"/>
      <c r="H66" s="36">
        <f t="shared" si="1"/>
        <v>0</v>
      </c>
      <c r="I66" s="29"/>
      <c r="J66" s="29"/>
    </row>
    <row r="67" spans="1:10" ht="19.5" customHeight="1">
      <c r="A67" s="31"/>
      <c r="B67" s="32"/>
      <c r="C67" s="31"/>
      <c r="D67" s="37" t="str">
        <f>IFERROR(VLOOKUP(C67,【台帳】①顧客マスタ!$A$4:$B$105,2,0),"")</f>
        <v/>
      </c>
      <c r="E67" s="31"/>
      <c r="F67" s="31"/>
      <c r="G67" s="38"/>
      <c r="H67" s="39">
        <f t="shared" si="1"/>
        <v>0</v>
      </c>
      <c r="I67" s="31"/>
      <c r="J67" s="31"/>
    </row>
    <row r="68" spans="1:10" ht="19.5" customHeight="1">
      <c r="A68" s="29"/>
      <c r="B68" s="30"/>
      <c r="C68" s="29"/>
      <c r="D68" s="34" t="str">
        <f>IFERROR(VLOOKUP(C68,【台帳】①顧客マスタ!$A$4:$B$105,2,0),"")</f>
        <v/>
      </c>
      <c r="E68" s="29"/>
      <c r="F68" s="29"/>
      <c r="G68" s="35"/>
      <c r="H68" s="36">
        <f t="shared" si="1"/>
        <v>0</v>
      </c>
      <c r="I68" s="29"/>
      <c r="J68" s="29"/>
    </row>
    <row r="69" spans="1:10" ht="19.5" customHeight="1">
      <c r="A69" s="31"/>
      <c r="B69" s="32"/>
      <c r="C69" s="31"/>
      <c r="D69" s="37" t="str">
        <f>IFERROR(VLOOKUP(C69,【台帳】①顧客マスタ!$A$4:$B$105,2,0),"")</f>
        <v/>
      </c>
      <c r="E69" s="31"/>
      <c r="F69" s="31"/>
      <c r="G69" s="38"/>
      <c r="H69" s="39">
        <f t="shared" si="1"/>
        <v>0</v>
      </c>
      <c r="I69" s="31"/>
      <c r="J69" s="31"/>
    </row>
    <row r="70" spans="1:10" ht="19.5" customHeight="1">
      <c r="A70" s="29"/>
      <c r="B70" s="30"/>
      <c r="C70" s="29"/>
      <c r="D70" s="34" t="str">
        <f>IFERROR(VLOOKUP(C70,【台帳】①顧客マスタ!$A$4:$B$105,2,0),"")</f>
        <v/>
      </c>
      <c r="E70" s="29"/>
      <c r="F70" s="29"/>
      <c r="G70" s="35"/>
      <c r="H70" s="36">
        <f t="shared" ref="H70:H101" si="2">IFERROR(F70*G70,"")</f>
        <v>0</v>
      </c>
      <c r="I70" s="29"/>
      <c r="J70" s="29"/>
    </row>
    <row r="71" spans="1:10" ht="19.5" customHeight="1">
      <c r="A71" s="31"/>
      <c r="B71" s="32"/>
      <c r="C71" s="31"/>
      <c r="D71" s="37" t="str">
        <f>IFERROR(VLOOKUP(C71,【台帳】①顧客マスタ!$A$4:$B$105,2,0),"")</f>
        <v/>
      </c>
      <c r="E71" s="31"/>
      <c r="F71" s="31"/>
      <c r="G71" s="38"/>
      <c r="H71" s="39">
        <f t="shared" si="2"/>
        <v>0</v>
      </c>
      <c r="I71" s="31"/>
      <c r="J71" s="31"/>
    </row>
    <row r="72" spans="1:10" ht="19.5" customHeight="1">
      <c r="A72" s="29"/>
      <c r="B72" s="30"/>
      <c r="C72" s="29"/>
      <c r="D72" s="34" t="str">
        <f>IFERROR(VLOOKUP(C72,【台帳】①顧客マスタ!$A$4:$B$105,2,0),"")</f>
        <v/>
      </c>
      <c r="E72" s="29"/>
      <c r="F72" s="29"/>
      <c r="G72" s="35"/>
      <c r="H72" s="36">
        <f t="shared" si="2"/>
        <v>0</v>
      </c>
      <c r="I72" s="29"/>
      <c r="J72" s="29"/>
    </row>
    <row r="73" spans="1:10" ht="19.5" customHeight="1">
      <c r="A73" s="31"/>
      <c r="B73" s="32"/>
      <c r="C73" s="31"/>
      <c r="D73" s="37" t="str">
        <f>IFERROR(VLOOKUP(C73,【台帳】①顧客マスタ!$A$4:$B$105,2,0),"")</f>
        <v/>
      </c>
      <c r="E73" s="31"/>
      <c r="F73" s="31"/>
      <c r="G73" s="38"/>
      <c r="H73" s="39">
        <f t="shared" si="2"/>
        <v>0</v>
      </c>
      <c r="I73" s="31"/>
      <c r="J73" s="31"/>
    </row>
    <row r="74" spans="1:10" ht="19.5" customHeight="1">
      <c r="A74" s="29"/>
      <c r="B74" s="30"/>
      <c r="C74" s="29"/>
      <c r="D74" s="34" t="str">
        <f>IFERROR(VLOOKUP(C74,【台帳】①顧客マスタ!$A$4:$B$105,2,0),"")</f>
        <v/>
      </c>
      <c r="E74" s="29"/>
      <c r="F74" s="29"/>
      <c r="G74" s="35"/>
      <c r="H74" s="36">
        <f t="shared" si="2"/>
        <v>0</v>
      </c>
      <c r="I74" s="29"/>
      <c r="J74" s="29"/>
    </row>
    <row r="75" spans="1:10" ht="19.5" customHeight="1">
      <c r="A75" s="31"/>
      <c r="B75" s="32"/>
      <c r="C75" s="31"/>
      <c r="D75" s="37" t="str">
        <f>IFERROR(VLOOKUP(C75,【台帳】①顧客マスタ!$A$4:$B$105,2,0),"")</f>
        <v/>
      </c>
      <c r="E75" s="31"/>
      <c r="F75" s="31"/>
      <c r="G75" s="38"/>
      <c r="H75" s="39">
        <f t="shared" si="2"/>
        <v>0</v>
      </c>
      <c r="I75" s="31"/>
      <c r="J75" s="31"/>
    </row>
    <row r="76" spans="1:10" ht="19.5" customHeight="1">
      <c r="A76" s="29"/>
      <c r="B76" s="30"/>
      <c r="C76" s="29"/>
      <c r="D76" s="34" t="str">
        <f>IFERROR(VLOOKUP(C76,【台帳】①顧客マスタ!$A$4:$B$105,2,0),"")</f>
        <v/>
      </c>
      <c r="E76" s="29"/>
      <c r="F76" s="29"/>
      <c r="G76" s="35"/>
      <c r="H76" s="36">
        <f t="shared" si="2"/>
        <v>0</v>
      </c>
      <c r="I76" s="29"/>
      <c r="J76" s="29"/>
    </row>
    <row r="77" spans="1:10" ht="19.5" customHeight="1">
      <c r="A77" s="31"/>
      <c r="B77" s="32"/>
      <c r="C77" s="31"/>
      <c r="D77" s="37" t="str">
        <f>IFERROR(VLOOKUP(C77,【台帳】①顧客マスタ!$A$4:$B$105,2,0),"")</f>
        <v/>
      </c>
      <c r="E77" s="31"/>
      <c r="F77" s="31"/>
      <c r="G77" s="38"/>
      <c r="H77" s="39">
        <f t="shared" si="2"/>
        <v>0</v>
      </c>
      <c r="I77" s="31"/>
      <c r="J77" s="31"/>
    </row>
    <row r="78" spans="1:10" ht="19.5" customHeight="1">
      <c r="A78" s="29"/>
      <c r="B78" s="30"/>
      <c r="C78" s="29"/>
      <c r="D78" s="34" t="str">
        <f>IFERROR(VLOOKUP(C78,【台帳】①顧客マスタ!$A$4:$B$105,2,0),"")</f>
        <v/>
      </c>
      <c r="E78" s="29"/>
      <c r="F78" s="29"/>
      <c r="G78" s="35"/>
      <c r="H78" s="36">
        <f t="shared" si="2"/>
        <v>0</v>
      </c>
      <c r="I78" s="29"/>
      <c r="J78" s="29"/>
    </row>
    <row r="79" spans="1:10" ht="19.5" customHeight="1">
      <c r="A79" s="31"/>
      <c r="B79" s="32"/>
      <c r="C79" s="31"/>
      <c r="D79" s="37" t="str">
        <f>IFERROR(VLOOKUP(C79,【台帳】①顧客マスタ!$A$4:$B$105,2,0),"")</f>
        <v/>
      </c>
      <c r="E79" s="31"/>
      <c r="F79" s="31"/>
      <c r="G79" s="38"/>
      <c r="H79" s="39">
        <f t="shared" si="2"/>
        <v>0</v>
      </c>
      <c r="I79" s="31"/>
      <c r="J79" s="31"/>
    </row>
    <row r="80" spans="1:10" ht="19.5" customHeight="1">
      <c r="A80" s="29"/>
      <c r="B80" s="30"/>
      <c r="C80" s="29"/>
      <c r="D80" s="34" t="str">
        <f>IFERROR(VLOOKUP(C80,【台帳】①顧客マスタ!$A$4:$B$105,2,0),"")</f>
        <v/>
      </c>
      <c r="E80" s="29"/>
      <c r="F80" s="29"/>
      <c r="G80" s="35"/>
      <c r="H80" s="36">
        <f t="shared" si="2"/>
        <v>0</v>
      </c>
      <c r="I80" s="29"/>
      <c r="J80" s="29"/>
    </row>
    <row r="81" spans="1:10" ht="19.5" customHeight="1">
      <c r="A81" s="31"/>
      <c r="B81" s="32"/>
      <c r="C81" s="31"/>
      <c r="D81" s="37" t="str">
        <f>IFERROR(VLOOKUP(C81,【台帳】①顧客マスタ!$A$4:$B$105,2,0),"")</f>
        <v/>
      </c>
      <c r="E81" s="31"/>
      <c r="F81" s="31"/>
      <c r="G81" s="38"/>
      <c r="H81" s="39">
        <f t="shared" si="2"/>
        <v>0</v>
      </c>
      <c r="I81" s="31"/>
      <c r="J81" s="31"/>
    </row>
    <row r="82" spans="1:10" ht="19.5" customHeight="1">
      <c r="A82" s="29"/>
      <c r="B82" s="30"/>
      <c r="C82" s="29"/>
      <c r="D82" s="34" t="str">
        <f>IFERROR(VLOOKUP(C82,【台帳】①顧客マスタ!$A$4:$B$105,2,0),"")</f>
        <v/>
      </c>
      <c r="E82" s="29"/>
      <c r="F82" s="29"/>
      <c r="G82" s="35"/>
      <c r="H82" s="36">
        <f t="shared" si="2"/>
        <v>0</v>
      </c>
      <c r="I82" s="29"/>
      <c r="J82" s="29"/>
    </row>
    <row r="83" spans="1:10" ht="19.5" customHeight="1">
      <c r="A83" s="31"/>
      <c r="B83" s="32"/>
      <c r="C83" s="31"/>
      <c r="D83" s="37" t="str">
        <f>IFERROR(VLOOKUP(C83,【台帳】①顧客マスタ!$A$4:$B$105,2,0),"")</f>
        <v/>
      </c>
      <c r="E83" s="31"/>
      <c r="F83" s="31"/>
      <c r="G83" s="38"/>
      <c r="H83" s="39">
        <f t="shared" si="2"/>
        <v>0</v>
      </c>
      <c r="I83" s="31"/>
      <c r="J83" s="31"/>
    </row>
    <row r="84" spans="1:10" ht="19.5" customHeight="1">
      <c r="A84" s="29"/>
      <c r="B84" s="30"/>
      <c r="C84" s="29"/>
      <c r="D84" s="34" t="str">
        <f>IFERROR(VLOOKUP(C84,【台帳】①顧客マスタ!$A$4:$B$105,2,0),"")</f>
        <v/>
      </c>
      <c r="E84" s="29"/>
      <c r="F84" s="29"/>
      <c r="G84" s="35"/>
      <c r="H84" s="36">
        <f t="shared" si="2"/>
        <v>0</v>
      </c>
      <c r="I84" s="29"/>
      <c r="J84" s="29"/>
    </row>
    <row r="85" spans="1:10" ht="19.5" customHeight="1">
      <c r="A85" s="31"/>
      <c r="B85" s="32"/>
      <c r="C85" s="31"/>
      <c r="D85" s="37" t="str">
        <f>IFERROR(VLOOKUP(C85,【台帳】①顧客マスタ!$A$4:$B$105,2,0),"")</f>
        <v/>
      </c>
      <c r="E85" s="31"/>
      <c r="F85" s="31"/>
      <c r="G85" s="38"/>
      <c r="H85" s="39">
        <f t="shared" si="2"/>
        <v>0</v>
      </c>
      <c r="I85" s="31"/>
      <c r="J85" s="31"/>
    </row>
    <row r="86" spans="1:10" ht="19.5" customHeight="1">
      <c r="A86" s="29"/>
      <c r="B86" s="30"/>
      <c r="C86" s="29"/>
      <c r="D86" s="34" t="str">
        <f>IFERROR(VLOOKUP(C86,【台帳】①顧客マスタ!$A$4:$B$105,2,0),"")</f>
        <v/>
      </c>
      <c r="E86" s="29"/>
      <c r="F86" s="29"/>
      <c r="G86" s="35"/>
      <c r="H86" s="36">
        <f t="shared" si="2"/>
        <v>0</v>
      </c>
      <c r="I86" s="29"/>
      <c r="J86" s="29"/>
    </row>
    <row r="87" spans="1:10" ht="19.5" customHeight="1">
      <c r="A87" s="31"/>
      <c r="B87" s="32"/>
      <c r="C87" s="31"/>
      <c r="D87" s="37" t="str">
        <f>IFERROR(VLOOKUP(C87,【台帳】①顧客マスタ!$A$4:$B$105,2,0),"")</f>
        <v/>
      </c>
      <c r="E87" s="31"/>
      <c r="F87" s="31"/>
      <c r="G87" s="38"/>
      <c r="H87" s="39">
        <f t="shared" si="2"/>
        <v>0</v>
      </c>
      <c r="I87" s="31"/>
      <c r="J87" s="31"/>
    </row>
    <row r="88" spans="1:10" ht="19.5" customHeight="1">
      <c r="A88" s="29"/>
      <c r="B88" s="30"/>
      <c r="C88" s="29"/>
      <c r="D88" s="34" t="str">
        <f>IFERROR(VLOOKUP(C88,【台帳】①顧客マスタ!$A$4:$B$105,2,0),"")</f>
        <v/>
      </c>
      <c r="E88" s="29"/>
      <c r="F88" s="29"/>
      <c r="G88" s="35"/>
      <c r="H88" s="36">
        <f t="shared" si="2"/>
        <v>0</v>
      </c>
      <c r="I88" s="29"/>
      <c r="J88" s="29"/>
    </row>
    <row r="89" spans="1:10" ht="19.5" customHeight="1">
      <c r="A89" s="31"/>
      <c r="B89" s="32"/>
      <c r="C89" s="31"/>
      <c r="D89" s="37" t="str">
        <f>IFERROR(VLOOKUP(C89,【台帳】①顧客マスタ!$A$4:$B$105,2,0),"")</f>
        <v/>
      </c>
      <c r="E89" s="31"/>
      <c r="F89" s="31"/>
      <c r="G89" s="38"/>
      <c r="H89" s="39">
        <f t="shared" si="2"/>
        <v>0</v>
      </c>
      <c r="I89" s="31"/>
      <c r="J89" s="31"/>
    </row>
    <row r="90" spans="1:10" ht="19.5" customHeight="1">
      <c r="A90" s="29"/>
      <c r="B90" s="30"/>
      <c r="C90" s="29"/>
      <c r="D90" s="34" t="str">
        <f>IFERROR(VLOOKUP(C90,【台帳】①顧客マスタ!$A$4:$B$105,2,0),"")</f>
        <v/>
      </c>
      <c r="E90" s="29"/>
      <c r="F90" s="29"/>
      <c r="G90" s="35"/>
      <c r="H90" s="36">
        <f t="shared" si="2"/>
        <v>0</v>
      </c>
      <c r="I90" s="29"/>
      <c r="J90" s="29"/>
    </row>
    <row r="91" spans="1:10" ht="19.5" customHeight="1">
      <c r="A91" s="31"/>
      <c r="B91" s="32"/>
      <c r="C91" s="31"/>
      <c r="D91" s="37" t="str">
        <f>IFERROR(VLOOKUP(C91,【台帳】①顧客マスタ!$A$4:$B$105,2,0),"")</f>
        <v/>
      </c>
      <c r="E91" s="31"/>
      <c r="F91" s="31"/>
      <c r="G91" s="38"/>
      <c r="H91" s="39">
        <f t="shared" si="2"/>
        <v>0</v>
      </c>
      <c r="I91" s="31"/>
      <c r="J91" s="31"/>
    </row>
    <row r="92" spans="1:10" ht="19.5" customHeight="1">
      <c r="A92" s="29"/>
      <c r="B92" s="30"/>
      <c r="C92" s="29"/>
      <c r="D92" s="34" t="str">
        <f>IFERROR(VLOOKUP(C92,【台帳】①顧客マスタ!$A$4:$B$105,2,0),"")</f>
        <v/>
      </c>
      <c r="E92" s="29"/>
      <c r="F92" s="29"/>
      <c r="G92" s="35"/>
      <c r="H92" s="36">
        <f t="shared" si="2"/>
        <v>0</v>
      </c>
      <c r="I92" s="29"/>
      <c r="J92" s="29"/>
    </row>
    <row r="93" spans="1:10" ht="19.5" customHeight="1">
      <c r="A93" s="31"/>
      <c r="B93" s="32"/>
      <c r="C93" s="31"/>
      <c r="D93" s="37" t="str">
        <f>IFERROR(VLOOKUP(C93,【台帳】①顧客マスタ!$A$4:$B$105,2,0),"")</f>
        <v/>
      </c>
      <c r="E93" s="31"/>
      <c r="F93" s="31"/>
      <c r="G93" s="38"/>
      <c r="H93" s="39">
        <f t="shared" si="2"/>
        <v>0</v>
      </c>
      <c r="I93" s="31"/>
      <c r="J93" s="31"/>
    </row>
    <row r="94" spans="1:10" ht="19.5" customHeight="1">
      <c r="A94" s="29"/>
      <c r="B94" s="30"/>
      <c r="C94" s="29"/>
      <c r="D94" s="34" t="str">
        <f>IFERROR(VLOOKUP(C94,【台帳】①顧客マスタ!$A$4:$B$105,2,0),"")</f>
        <v/>
      </c>
      <c r="E94" s="29"/>
      <c r="F94" s="29"/>
      <c r="G94" s="35"/>
      <c r="H94" s="36">
        <f t="shared" si="2"/>
        <v>0</v>
      </c>
      <c r="I94" s="29"/>
      <c r="J94" s="29"/>
    </row>
    <row r="95" spans="1:10" ht="19.5" customHeight="1">
      <c r="A95" s="31"/>
      <c r="B95" s="32"/>
      <c r="C95" s="31"/>
      <c r="D95" s="37" t="str">
        <f>IFERROR(VLOOKUP(C95,【台帳】①顧客マスタ!$A$4:$B$105,2,0),"")</f>
        <v/>
      </c>
      <c r="E95" s="31"/>
      <c r="F95" s="31"/>
      <c r="G95" s="38"/>
      <c r="H95" s="39">
        <f t="shared" si="2"/>
        <v>0</v>
      </c>
      <c r="I95" s="31"/>
      <c r="J95" s="31"/>
    </row>
    <row r="96" spans="1:10" ht="19.5" customHeight="1">
      <c r="A96" s="29"/>
      <c r="B96" s="30"/>
      <c r="C96" s="29"/>
      <c r="D96" s="34" t="str">
        <f>IFERROR(VLOOKUP(C96,【台帳】①顧客マスタ!$A$4:$B$105,2,0),"")</f>
        <v/>
      </c>
      <c r="E96" s="29"/>
      <c r="F96" s="29"/>
      <c r="G96" s="35"/>
      <c r="H96" s="36">
        <f t="shared" si="2"/>
        <v>0</v>
      </c>
      <c r="I96" s="29"/>
      <c r="J96" s="29"/>
    </row>
    <row r="97" spans="1:10" ht="19.5" customHeight="1">
      <c r="A97" s="31"/>
      <c r="B97" s="32"/>
      <c r="C97" s="31"/>
      <c r="D97" s="37" t="str">
        <f>IFERROR(VLOOKUP(C97,【台帳】①顧客マスタ!$A$4:$B$105,2,0),"")</f>
        <v/>
      </c>
      <c r="E97" s="31"/>
      <c r="F97" s="31"/>
      <c r="G97" s="38"/>
      <c r="H97" s="39">
        <f t="shared" si="2"/>
        <v>0</v>
      </c>
      <c r="I97" s="31"/>
      <c r="J97" s="31"/>
    </row>
    <row r="98" spans="1:10" ht="19.5" customHeight="1">
      <c r="A98" s="29"/>
      <c r="B98" s="30"/>
      <c r="C98" s="29"/>
      <c r="D98" s="34" t="str">
        <f>IFERROR(VLOOKUP(C98,【台帳】①顧客マスタ!$A$4:$B$105,2,0),"")</f>
        <v/>
      </c>
      <c r="E98" s="29"/>
      <c r="F98" s="29"/>
      <c r="G98" s="35"/>
      <c r="H98" s="36">
        <f t="shared" si="2"/>
        <v>0</v>
      </c>
      <c r="I98" s="29"/>
      <c r="J98" s="29"/>
    </row>
    <row r="99" spans="1:10" ht="19.5" customHeight="1">
      <c r="A99" s="31"/>
      <c r="B99" s="32"/>
      <c r="C99" s="31"/>
      <c r="D99" s="37" t="str">
        <f>IFERROR(VLOOKUP(C99,【台帳】①顧客マスタ!$A$4:$B$105,2,0),"")</f>
        <v/>
      </c>
      <c r="E99" s="31"/>
      <c r="F99" s="31"/>
      <c r="G99" s="38"/>
      <c r="H99" s="39">
        <f t="shared" si="2"/>
        <v>0</v>
      </c>
      <c r="I99" s="31"/>
      <c r="J99" s="31"/>
    </row>
    <row r="100" spans="1:10" ht="19.5" customHeight="1">
      <c r="A100" s="29"/>
      <c r="B100" s="30"/>
      <c r="C100" s="29"/>
      <c r="D100" s="34" t="str">
        <f>IFERROR(VLOOKUP(C100,【台帳】①顧客マスタ!$A$4:$B$105,2,0),"")</f>
        <v/>
      </c>
      <c r="E100" s="29"/>
      <c r="F100" s="29"/>
      <c r="G100" s="35"/>
      <c r="H100" s="36">
        <f t="shared" si="2"/>
        <v>0</v>
      </c>
      <c r="I100" s="29"/>
      <c r="J100" s="29"/>
    </row>
    <row r="101" spans="1:10" ht="19.5" customHeight="1">
      <c r="A101" s="31"/>
      <c r="B101" s="32"/>
      <c r="C101" s="31"/>
      <c r="D101" s="37" t="str">
        <f>IFERROR(VLOOKUP(C101,【台帳】①顧客マスタ!$A$4:$B$105,2,0),"")</f>
        <v/>
      </c>
      <c r="E101" s="31"/>
      <c r="F101" s="31"/>
      <c r="G101" s="38"/>
      <c r="H101" s="39">
        <f t="shared" si="2"/>
        <v>0</v>
      </c>
      <c r="I101" s="31"/>
      <c r="J101" s="31"/>
    </row>
    <row r="102" spans="1:10" ht="19.5" customHeight="1">
      <c r="A102" s="29"/>
      <c r="B102" s="30"/>
      <c r="C102" s="29"/>
      <c r="D102" s="34" t="str">
        <f>IFERROR(VLOOKUP(C102,【台帳】①顧客マスタ!$A$4:$B$105,2,0),"")</f>
        <v/>
      </c>
      <c r="E102" s="29"/>
      <c r="F102" s="29"/>
      <c r="G102" s="35"/>
      <c r="H102" s="36">
        <f t="shared" ref="H102:H133" si="3">IFERROR(F102*G102,"")</f>
        <v>0</v>
      </c>
      <c r="I102" s="29"/>
      <c r="J102" s="29"/>
    </row>
    <row r="103" spans="1:10" ht="19.5" customHeight="1">
      <c r="A103" s="31"/>
      <c r="B103" s="32"/>
      <c r="C103" s="31"/>
      <c r="D103" s="37" t="str">
        <f>IFERROR(VLOOKUP(C103,【台帳】①顧客マスタ!$A$4:$B$105,2,0),"")</f>
        <v/>
      </c>
      <c r="E103" s="31"/>
      <c r="F103" s="31"/>
      <c r="G103" s="38"/>
      <c r="H103" s="39">
        <f t="shared" si="3"/>
        <v>0</v>
      </c>
      <c r="I103" s="31"/>
      <c r="J103" s="31"/>
    </row>
    <row r="104" spans="1:10" ht="19.5" customHeight="1">
      <c r="A104" s="29"/>
      <c r="B104" s="30"/>
      <c r="C104" s="29"/>
      <c r="D104" s="34" t="str">
        <f>IFERROR(VLOOKUP(C104,【台帳】①顧客マスタ!$A$4:$B$105,2,0),"")</f>
        <v/>
      </c>
      <c r="E104" s="29"/>
      <c r="F104" s="29"/>
      <c r="G104" s="35"/>
      <c r="H104" s="36">
        <f t="shared" si="3"/>
        <v>0</v>
      </c>
      <c r="I104" s="29"/>
      <c r="J104" s="29"/>
    </row>
    <row r="105" spans="1:10" ht="19.5" customHeight="1">
      <c r="A105" s="31"/>
      <c r="B105" s="32"/>
      <c r="C105" s="31"/>
      <c r="D105" s="37" t="str">
        <f>IFERROR(VLOOKUP(C105,【台帳】①顧客マスタ!$A$4:$B$105,2,0),"")</f>
        <v/>
      </c>
      <c r="E105" s="31"/>
      <c r="F105" s="31"/>
      <c r="G105" s="38"/>
      <c r="H105" s="39">
        <f t="shared" si="3"/>
        <v>0</v>
      </c>
      <c r="I105" s="31"/>
      <c r="J105" s="31"/>
    </row>
    <row r="106" spans="1:10" ht="19.5" customHeight="1">
      <c r="A106" s="29"/>
      <c r="B106" s="30"/>
      <c r="C106" s="29"/>
      <c r="D106" s="34" t="str">
        <f>IFERROR(VLOOKUP(C106,【台帳】①顧客マスタ!$A$4:$B$105,2,0),"")</f>
        <v/>
      </c>
      <c r="E106" s="29"/>
      <c r="F106" s="29"/>
      <c r="G106" s="35"/>
      <c r="H106" s="36">
        <f t="shared" si="3"/>
        <v>0</v>
      </c>
      <c r="I106" s="29"/>
      <c r="J106" s="29"/>
    </row>
    <row r="107" spans="1:10" ht="19.5" customHeight="1">
      <c r="A107" s="31"/>
      <c r="B107" s="32"/>
      <c r="C107" s="31"/>
      <c r="D107" s="37" t="str">
        <f>IFERROR(VLOOKUP(C107,【台帳】①顧客マスタ!$A$4:$B$105,2,0),"")</f>
        <v/>
      </c>
      <c r="E107" s="31"/>
      <c r="F107" s="31"/>
      <c r="G107" s="38"/>
      <c r="H107" s="39">
        <f t="shared" si="3"/>
        <v>0</v>
      </c>
      <c r="I107" s="31"/>
      <c r="J107" s="31"/>
    </row>
    <row r="108" spans="1:10" ht="19.5" customHeight="1">
      <c r="A108" s="29"/>
      <c r="B108" s="30"/>
      <c r="C108" s="29"/>
      <c r="D108" s="34" t="str">
        <f>IFERROR(VLOOKUP(C108,【台帳】①顧客マスタ!$A$4:$B$105,2,0),"")</f>
        <v/>
      </c>
      <c r="E108" s="29"/>
      <c r="F108" s="29"/>
      <c r="G108" s="35"/>
      <c r="H108" s="36">
        <f t="shared" si="3"/>
        <v>0</v>
      </c>
      <c r="I108" s="29"/>
      <c r="J108" s="29"/>
    </row>
    <row r="109" spans="1:10" ht="19.5" customHeight="1">
      <c r="A109" s="31"/>
      <c r="B109" s="32"/>
      <c r="C109" s="31"/>
      <c r="D109" s="37" t="str">
        <f>IFERROR(VLOOKUP(C109,【台帳】①顧客マスタ!$A$4:$B$105,2,0),"")</f>
        <v/>
      </c>
      <c r="E109" s="31"/>
      <c r="F109" s="31"/>
      <c r="G109" s="38"/>
      <c r="H109" s="39">
        <f t="shared" si="3"/>
        <v>0</v>
      </c>
      <c r="I109" s="31"/>
      <c r="J109" s="31"/>
    </row>
    <row r="110" spans="1:10" ht="19.5" customHeight="1">
      <c r="A110" s="29"/>
      <c r="B110" s="30"/>
      <c r="C110" s="29"/>
      <c r="D110" s="34" t="str">
        <f>IFERROR(VLOOKUP(C110,【台帳】①顧客マスタ!$A$4:$B$105,2,0),"")</f>
        <v/>
      </c>
      <c r="E110" s="29"/>
      <c r="F110" s="29"/>
      <c r="G110" s="35"/>
      <c r="H110" s="36">
        <f t="shared" si="3"/>
        <v>0</v>
      </c>
      <c r="I110" s="29"/>
      <c r="J110" s="29"/>
    </row>
    <row r="111" spans="1:10" ht="19.5" customHeight="1">
      <c r="A111" s="31"/>
      <c r="B111" s="32"/>
      <c r="C111" s="31"/>
      <c r="D111" s="37" t="str">
        <f>IFERROR(VLOOKUP(C111,【台帳】①顧客マスタ!$A$4:$B$105,2,0),"")</f>
        <v/>
      </c>
      <c r="E111" s="31"/>
      <c r="F111" s="31"/>
      <c r="G111" s="38"/>
      <c r="H111" s="39">
        <f t="shared" si="3"/>
        <v>0</v>
      </c>
      <c r="I111" s="31"/>
      <c r="J111" s="31"/>
    </row>
    <row r="112" spans="1:10" ht="19.5" customHeight="1">
      <c r="A112" s="29"/>
      <c r="B112" s="30"/>
      <c r="C112" s="29"/>
      <c r="D112" s="34" t="str">
        <f>IFERROR(VLOOKUP(C112,【台帳】①顧客マスタ!$A$4:$B$105,2,0),"")</f>
        <v/>
      </c>
      <c r="E112" s="29"/>
      <c r="F112" s="29"/>
      <c r="G112" s="35"/>
      <c r="H112" s="36">
        <f t="shared" si="3"/>
        <v>0</v>
      </c>
      <c r="I112" s="29"/>
      <c r="J112" s="29"/>
    </row>
    <row r="113" spans="1:10" ht="19.5" customHeight="1">
      <c r="A113" s="31"/>
      <c r="B113" s="32"/>
      <c r="C113" s="31"/>
      <c r="D113" s="37" t="str">
        <f>IFERROR(VLOOKUP(C113,【台帳】①顧客マスタ!$A$4:$B$105,2,0),"")</f>
        <v/>
      </c>
      <c r="E113" s="31"/>
      <c r="F113" s="31"/>
      <c r="G113" s="38"/>
      <c r="H113" s="39">
        <f t="shared" si="3"/>
        <v>0</v>
      </c>
      <c r="I113" s="31"/>
      <c r="J113" s="31"/>
    </row>
    <row r="114" spans="1:10" ht="19.5" customHeight="1">
      <c r="A114" s="29"/>
      <c r="B114" s="30"/>
      <c r="C114" s="29"/>
      <c r="D114" s="34" t="str">
        <f>IFERROR(VLOOKUP(C114,【台帳】①顧客マスタ!$A$4:$B$105,2,0),"")</f>
        <v/>
      </c>
      <c r="E114" s="29"/>
      <c r="F114" s="29"/>
      <c r="G114" s="35"/>
      <c r="H114" s="36">
        <f t="shared" si="3"/>
        <v>0</v>
      </c>
      <c r="I114" s="29"/>
      <c r="J114" s="29"/>
    </row>
    <row r="115" spans="1:10" ht="19.5" customHeight="1">
      <c r="A115" s="31"/>
      <c r="B115" s="32"/>
      <c r="C115" s="31"/>
      <c r="D115" s="37" t="str">
        <f>IFERROR(VLOOKUP(C115,【台帳】①顧客マスタ!$A$4:$B$105,2,0),"")</f>
        <v/>
      </c>
      <c r="E115" s="31"/>
      <c r="F115" s="31"/>
      <c r="G115" s="38"/>
      <c r="H115" s="39">
        <f t="shared" si="3"/>
        <v>0</v>
      </c>
      <c r="I115" s="31"/>
      <c r="J115" s="31"/>
    </row>
    <row r="116" spans="1:10" ht="19.5" customHeight="1">
      <c r="A116" s="29"/>
      <c r="B116" s="30"/>
      <c r="C116" s="29"/>
      <c r="D116" s="34" t="str">
        <f>IFERROR(VLOOKUP(C116,【台帳】①顧客マスタ!$A$4:$B$105,2,0),"")</f>
        <v/>
      </c>
      <c r="E116" s="29"/>
      <c r="F116" s="29"/>
      <c r="G116" s="35"/>
      <c r="H116" s="36">
        <f t="shared" si="3"/>
        <v>0</v>
      </c>
      <c r="I116" s="29"/>
      <c r="J116" s="29"/>
    </row>
    <row r="117" spans="1:10" ht="19.5" customHeight="1">
      <c r="A117" s="31"/>
      <c r="B117" s="32"/>
      <c r="C117" s="31"/>
      <c r="D117" s="37" t="str">
        <f>IFERROR(VLOOKUP(C117,【台帳】①顧客マスタ!$A$4:$B$105,2,0),"")</f>
        <v/>
      </c>
      <c r="E117" s="31"/>
      <c r="F117" s="31"/>
      <c r="G117" s="38"/>
      <c r="H117" s="39">
        <f t="shared" si="3"/>
        <v>0</v>
      </c>
      <c r="I117" s="31"/>
      <c r="J117" s="31"/>
    </row>
    <row r="118" spans="1:10" ht="19.5" customHeight="1">
      <c r="A118" s="29"/>
      <c r="B118" s="30"/>
      <c r="C118" s="29"/>
      <c r="D118" s="34" t="str">
        <f>IFERROR(VLOOKUP(C118,【台帳】①顧客マスタ!$A$4:$B$105,2,0),"")</f>
        <v/>
      </c>
      <c r="E118" s="29"/>
      <c r="F118" s="29"/>
      <c r="G118" s="35"/>
      <c r="H118" s="36">
        <f t="shared" si="3"/>
        <v>0</v>
      </c>
      <c r="I118" s="29"/>
      <c r="J118" s="29"/>
    </row>
    <row r="119" spans="1:10" ht="19.5" customHeight="1">
      <c r="A119" s="31"/>
      <c r="B119" s="32"/>
      <c r="C119" s="31"/>
      <c r="D119" s="37" t="str">
        <f>IFERROR(VLOOKUP(C119,【台帳】①顧客マスタ!$A$4:$B$105,2,0),"")</f>
        <v/>
      </c>
      <c r="E119" s="31"/>
      <c r="F119" s="31"/>
      <c r="G119" s="38"/>
      <c r="H119" s="39">
        <f t="shared" si="3"/>
        <v>0</v>
      </c>
      <c r="I119" s="31"/>
      <c r="J119" s="31"/>
    </row>
    <row r="120" spans="1:10" ht="19.5" customHeight="1">
      <c r="A120" s="29"/>
      <c r="B120" s="30"/>
      <c r="C120" s="29"/>
      <c r="D120" s="34" t="str">
        <f>IFERROR(VLOOKUP(C120,【台帳】①顧客マスタ!$A$4:$B$105,2,0),"")</f>
        <v/>
      </c>
      <c r="E120" s="29"/>
      <c r="F120" s="29"/>
      <c r="G120" s="35"/>
      <c r="H120" s="36">
        <f t="shared" si="3"/>
        <v>0</v>
      </c>
      <c r="I120" s="29"/>
      <c r="J120" s="29"/>
    </row>
    <row r="121" spans="1:10" ht="19.5" customHeight="1">
      <c r="A121" s="31"/>
      <c r="B121" s="32"/>
      <c r="C121" s="31"/>
      <c r="D121" s="37" t="str">
        <f>IFERROR(VLOOKUP(C121,【台帳】①顧客マスタ!$A$4:$B$105,2,0),"")</f>
        <v/>
      </c>
      <c r="E121" s="31"/>
      <c r="F121" s="31"/>
      <c r="G121" s="38"/>
      <c r="H121" s="39">
        <f t="shared" si="3"/>
        <v>0</v>
      </c>
      <c r="I121" s="31"/>
      <c r="J121" s="31"/>
    </row>
    <row r="122" spans="1:10" ht="19.5" customHeight="1">
      <c r="A122" s="29"/>
      <c r="B122" s="30"/>
      <c r="C122" s="29"/>
      <c r="D122" s="34" t="str">
        <f>IFERROR(VLOOKUP(C122,【台帳】①顧客マスタ!$A$4:$B$105,2,0),"")</f>
        <v/>
      </c>
      <c r="E122" s="29"/>
      <c r="F122" s="29"/>
      <c r="G122" s="35"/>
      <c r="H122" s="36">
        <f t="shared" si="3"/>
        <v>0</v>
      </c>
      <c r="I122" s="29"/>
      <c r="J122" s="29"/>
    </row>
    <row r="123" spans="1:10" ht="19.5" customHeight="1">
      <c r="A123" s="31"/>
      <c r="B123" s="32"/>
      <c r="C123" s="31"/>
      <c r="D123" s="37" t="str">
        <f>IFERROR(VLOOKUP(C123,【台帳】①顧客マスタ!$A$4:$B$105,2,0),"")</f>
        <v/>
      </c>
      <c r="E123" s="31"/>
      <c r="F123" s="31"/>
      <c r="G123" s="38"/>
      <c r="H123" s="39">
        <f t="shared" si="3"/>
        <v>0</v>
      </c>
      <c r="I123" s="31"/>
      <c r="J123" s="31"/>
    </row>
    <row r="124" spans="1:10" ht="19.5" customHeight="1">
      <c r="A124" s="29"/>
      <c r="B124" s="30"/>
      <c r="C124" s="29"/>
      <c r="D124" s="34" t="str">
        <f>IFERROR(VLOOKUP(C124,【台帳】①顧客マスタ!$A$4:$B$105,2,0),"")</f>
        <v/>
      </c>
      <c r="E124" s="29"/>
      <c r="F124" s="29"/>
      <c r="G124" s="35"/>
      <c r="H124" s="36">
        <f t="shared" si="3"/>
        <v>0</v>
      </c>
      <c r="I124" s="29"/>
      <c r="J124" s="29"/>
    </row>
    <row r="125" spans="1:10" ht="19.5" customHeight="1">
      <c r="A125" s="31"/>
      <c r="B125" s="32"/>
      <c r="C125" s="31"/>
      <c r="D125" s="37" t="str">
        <f>IFERROR(VLOOKUP(C125,【台帳】①顧客マスタ!$A$4:$B$105,2,0),"")</f>
        <v/>
      </c>
      <c r="E125" s="31"/>
      <c r="F125" s="31"/>
      <c r="G125" s="38"/>
      <c r="H125" s="39">
        <f t="shared" si="3"/>
        <v>0</v>
      </c>
      <c r="I125" s="31"/>
      <c r="J125" s="31"/>
    </row>
    <row r="126" spans="1:10" ht="19.5" customHeight="1">
      <c r="A126" s="29"/>
      <c r="B126" s="30"/>
      <c r="C126" s="29"/>
      <c r="D126" s="34" t="str">
        <f>IFERROR(VLOOKUP(C126,【台帳】①顧客マスタ!$A$4:$B$105,2,0),"")</f>
        <v/>
      </c>
      <c r="E126" s="29"/>
      <c r="F126" s="29"/>
      <c r="G126" s="35"/>
      <c r="H126" s="36">
        <f t="shared" si="3"/>
        <v>0</v>
      </c>
      <c r="I126" s="29"/>
      <c r="J126" s="29"/>
    </row>
    <row r="127" spans="1:10" ht="19.5" customHeight="1">
      <c r="A127" s="31"/>
      <c r="B127" s="32"/>
      <c r="C127" s="31"/>
      <c r="D127" s="37" t="str">
        <f>IFERROR(VLOOKUP(C127,【台帳】①顧客マスタ!$A$4:$B$105,2,0),"")</f>
        <v/>
      </c>
      <c r="E127" s="31"/>
      <c r="F127" s="31"/>
      <c r="G127" s="38"/>
      <c r="H127" s="39">
        <f t="shared" si="3"/>
        <v>0</v>
      </c>
      <c r="I127" s="31"/>
      <c r="J127" s="31"/>
    </row>
    <row r="128" spans="1:10" ht="19.5" customHeight="1">
      <c r="A128" s="29"/>
      <c r="B128" s="30"/>
      <c r="C128" s="29"/>
      <c r="D128" s="34" t="str">
        <f>IFERROR(VLOOKUP(C128,【台帳】①顧客マスタ!$A$4:$B$105,2,0),"")</f>
        <v/>
      </c>
      <c r="E128" s="29"/>
      <c r="F128" s="29"/>
      <c r="G128" s="35"/>
      <c r="H128" s="36">
        <f t="shared" si="3"/>
        <v>0</v>
      </c>
      <c r="I128" s="29"/>
      <c r="J128" s="29"/>
    </row>
    <row r="129" spans="1:10" ht="19.5" customHeight="1">
      <c r="A129" s="31"/>
      <c r="B129" s="32"/>
      <c r="C129" s="31"/>
      <c r="D129" s="37" t="str">
        <f>IFERROR(VLOOKUP(C129,【台帳】①顧客マスタ!$A$4:$B$105,2,0),"")</f>
        <v/>
      </c>
      <c r="E129" s="31"/>
      <c r="F129" s="31"/>
      <c r="G129" s="38"/>
      <c r="H129" s="39">
        <f t="shared" si="3"/>
        <v>0</v>
      </c>
      <c r="I129" s="31"/>
      <c r="J129" s="31"/>
    </row>
    <row r="130" spans="1:10" ht="19.5" customHeight="1">
      <c r="A130" s="29"/>
      <c r="B130" s="30"/>
      <c r="C130" s="29"/>
      <c r="D130" s="34" t="str">
        <f>IFERROR(VLOOKUP(C130,【台帳】①顧客マスタ!$A$4:$B$105,2,0),"")</f>
        <v/>
      </c>
      <c r="E130" s="29"/>
      <c r="F130" s="29"/>
      <c r="G130" s="35"/>
      <c r="H130" s="36">
        <f t="shared" si="3"/>
        <v>0</v>
      </c>
      <c r="I130" s="29"/>
      <c r="J130" s="29"/>
    </row>
    <row r="131" spans="1:10" ht="19.5" customHeight="1">
      <c r="A131" s="31"/>
      <c r="B131" s="32"/>
      <c r="C131" s="31"/>
      <c r="D131" s="37" t="str">
        <f>IFERROR(VLOOKUP(C131,【台帳】①顧客マスタ!$A$4:$B$105,2,0),"")</f>
        <v/>
      </c>
      <c r="E131" s="31"/>
      <c r="F131" s="31"/>
      <c r="G131" s="38"/>
      <c r="H131" s="39">
        <f t="shared" si="3"/>
        <v>0</v>
      </c>
      <c r="I131" s="31"/>
      <c r="J131" s="31"/>
    </row>
    <row r="132" spans="1:10" ht="19.5" customHeight="1">
      <c r="A132" s="29"/>
      <c r="B132" s="30"/>
      <c r="C132" s="29"/>
      <c r="D132" s="34" t="str">
        <f>IFERROR(VLOOKUP(C132,【台帳】①顧客マスタ!$A$4:$B$105,2,0),"")</f>
        <v/>
      </c>
      <c r="E132" s="29"/>
      <c r="F132" s="29"/>
      <c r="G132" s="35"/>
      <c r="H132" s="36">
        <f t="shared" si="3"/>
        <v>0</v>
      </c>
      <c r="I132" s="29"/>
      <c r="J132" s="29"/>
    </row>
    <row r="133" spans="1:10" ht="19.5" customHeight="1">
      <c r="A133" s="31"/>
      <c r="B133" s="32"/>
      <c r="C133" s="31"/>
      <c r="D133" s="37" t="str">
        <f>IFERROR(VLOOKUP(C133,【台帳】①顧客マスタ!$A$4:$B$105,2,0),"")</f>
        <v/>
      </c>
      <c r="E133" s="31"/>
      <c r="F133" s="31"/>
      <c r="G133" s="38"/>
      <c r="H133" s="39">
        <f t="shared" si="3"/>
        <v>0</v>
      </c>
      <c r="I133" s="31"/>
      <c r="J133" s="31"/>
    </row>
    <row r="134" spans="1:10" ht="19.5" customHeight="1">
      <c r="A134" s="29"/>
      <c r="B134" s="30"/>
      <c r="C134" s="29"/>
      <c r="D134" s="34" t="str">
        <f>IFERROR(VLOOKUP(C134,【台帳】①顧客マスタ!$A$4:$B$105,2,0),"")</f>
        <v/>
      </c>
      <c r="E134" s="29"/>
      <c r="F134" s="29"/>
      <c r="G134" s="35"/>
      <c r="H134" s="36">
        <f t="shared" ref="H134:H165" si="4">IFERROR(F134*G134,"")</f>
        <v>0</v>
      </c>
      <c r="I134" s="29"/>
      <c r="J134" s="29"/>
    </row>
    <row r="135" spans="1:10" ht="19.5" customHeight="1">
      <c r="A135" s="31"/>
      <c r="B135" s="32"/>
      <c r="C135" s="31"/>
      <c r="D135" s="37" t="str">
        <f>IFERROR(VLOOKUP(C135,【台帳】①顧客マスタ!$A$4:$B$105,2,0),"")</f>
        <v/>
      </c>
      <c r="E135" s="31"/>
      <c r="F135" s="31"/>
      <c r="G135" s="38"/>
      <c r="H135" s="39">
        <f t="shared" si="4"/>
        <v>0</v>
      </c>
      <c r="I135" s="31"/>
      <c r="J135" s="31"/>
    </row>
    <row r="136" spans="1:10" ht="19.5" customHeight="1">
      <c r="A136" s="29"/>
      <c r="B136" s="30"/>
      <c r="C136" s="29"/>
      <c r="D136" s="34" t="str">
        <f>IFERROR(VLOOKUP(C136,【台帳】①顧客マスタ!$A$4:$B$105,2,0),"")</f>
        <v/>
      </c>
      <c r="E136" s="29"/>
      <c r="F136" s="29"/>
      <c r="G136" s="35"/>
      <c r="H136" s="36">
        <f t="shared" si="4"/>
        <v>0</v>
      </c>
      <c r="I136" s="29"/>
      <c r="J136" s="29"/>
    </row>
    <row r="137" spans="1:10" ht="19.5" customHeight="1">
      <c r="A137" s="31"/>
      <c r="B137" s="32"/>
      <c r="C137" s="31"/>
      <c r="D137" s="37" t="str">
        <f>IFERROR(VLOOKUP(C137,【台帳】①顧客マスタ!$A$4:$B$105,2,0),"")</f>
        <v/>
      </c>
      <c r="E137" s="31"/>
      <c r="F137" s="31"/>
      <c r="G137" s="38"/>
      <c r="H137" s="39">
        <f t="shared" si="4"/>
        <v>0</v>
      </c>
      <c r="I137" s="31"/>
      <c r="J137" s="31"/>
    </row>
    <row r="138" spans="1:10" ht="19.5" customHeight="1">
      <c r="A138" s="29"/>
      <c r="B138" s="30"/>
      <c r="C138" s="29"/>
      <c r="D138" s="34" t="str">
        <f>IFERROR(VLOOKUP(C138,【台帳】①顧客マスタ!$A$4:$B$105,2,0),"")</f>
        <v/>
      </c>
      <c r="E138" s="29"/>
      <c r="F138" s="29"/>
      <c r="G138" s="35"/>
      <c r="H138" s="36">
        <f t="shared" si="4"/>
        <v>0</v>
      </c>
      <c r="I138" s="29"/>
      <c r="J138" s="29"/>
    </row>
    <row r="139" spans="1:10" ht="19.5" customHeight="1">
      <c r="A139" s="31"/>
      <c r="B139" s="32"/>
      <c r="C139" s="31"/>
      <c r="D139" s="37" t="str">
        <f>IFERROR(VLOOKUP(C139,【台帳】①顧客マスタ!$A$4:$B$105,2,0),"")</f>
        <v/>
      </c>
      <c r="E139" s="31"/>
      <c r="F139" s="31"/>
      <c r="G139" s="38"/>
      <c r="H139" s="39">
        <f t="shared" si="4"/>
        <v>0</v>
      </c>
      <c r="I139" s="31"/>
      <c r="J139" s="31"/>
    </row>
    <row r="140" spans="1:10" ht="19.5" customHeight="1">
      <c r="A140" s="29"/>
      <c r="B140" s="30"/>
      <c r="C140" s="29"/>
      <c r="D140" s="34" t="str">
        <f>IFERROR(VLOOKUP(C140,【台帳】①顧客マスタ!$A$4:$B$105,2,0),"")</f>
        <v/>
      </c>
      <c r="E140" s="29"/>
      <c r="F140" s="29"/>
      <c r="G140" s="35"/>
      <c r="H140" s="36">
        <f t="shared" si="4"/>
        <v>0</v>
      </c>
      <c r="I140" s="29"/>
      <c r="J140" s="29"/>
    </row>
    <row r="141" spans="1:10" ht="19.5" customHeight="1">
      <c r="A141" s="31"/>
      <c r="B141" s="32"/>
      <c r="C141" s="31"/>
      <c r="D141" s="37" t="str">
        <f>IFERROR(VLOOKUP(C141,【台帳】①顧客マスタ!$A$4:$B$105,2,0),"")</f>
        <v/>
      </c>
      <c r="E141" s="31"/>
      <c r="F141" s="31"/>
      <c r="G141" s="38"/>
      <c r="H141" s="39">
        <f t="shared" si="4"/>
        <v>0</v>
      </c>
      <c r="I141" s="31"/>
      <c r="J141" s="31"/>
    </row>
    <row r="142" spans="1:10" ht="19.5" customHeight="1">
      <c r="A142" s="29"/>
      <c r="B142" s="30"/>
      <c r="C142" s="29"/>
      <c r="D142" s="34" t="str">
        <f>IFERROR(VLOOKUP(C142,【台帳】①顧客マスタ!$A$4:$B$105,2,0),"")</f>
        <v/>
      </c>
      <c r="E142" s="29"/>
      <c r="F142" s="29"/>
      <c r="G142" s="35"/>
      <c r="H142" s="36">
        <f t="shared" si="4"/>
        <v>0</v>
      </c>
      <c r="I142" s="29"/>
      <c r="J142" s="29"/>
    </row>
    <row r="143" spans="1:10" ht="19.5" customHeight="1">
      <c r="A143" s="31"/>
      <c r="B143" s="32"/>
      <c r="C143" s="31"/>
      <c r="D143" s="37" t="str">
        <f>IFERROR(VLOOKUP(C143,【台帳】①顧客マスタ!$A$4:$B$105,2,0),"")</f>
        <v/>
      </c>
      <c r="E143" s="31"/>
      <c r="F143" s="31"/>
      <c r="G143" s="38"/>
      <c r="H143" s="39">
        <f t="shared" si="4"/>
        <v>0</v>
      </c>
      <c r="I143" s="31"/>
      <c r="J143" s="31"/>
    </row>
    <row r="144" spans="1:10" ht="19.5" customHeight="1">
      <c r="A144" s="29"/>
      <c r="B144" s="30"/>
      <c r="C144" s="29"/>
      <c r="D144" s="34" t="str">
        <f>IFERROR(VLOOKUP(C144,【台帳】①顧客マスタ!$A$4:$B$105,2,0),"")</f>
        <v/>
      </c>
      <c r="E144" s="29"/>
      <c r="F144" s="29"/>
      <c r="G144" s="35"/>
      <c r="H144" s="36">
        <f t="shared" si="4"/>
        <v>0</v>
      </c>
      <c r="I144" s="29"/>
      <c r="J144" s="29"/>
    </row>
    <row r="145" spans="1:10" ht="19.5" customHeight="1">
      <c r="A145" s="31"/>
      <c r="B145" s="32"/>
      <c r="C145" s="31"/>
      <c r="D145" s="37" t="str">
        <f>IFERROR(VLOOKUP(C145,【台帳】①顧客マスタ!$A$4:$B$105,2,0),"")</f>
        <v/>
      </c>
      <c r="E145" s="31"/>
      <c r="F145" s="31"/>
      <c r="G145" s="38"/>
      <c r="H145" s="39">
        <f t="shared" si="4"/>
        <v>0</v>
      </c>
      <c r="I145" s="31"/>
      <c r="J145" s="31"/>
    </row>
    <row r="146" spans="1:10" ht="19.5" customHeight="1">
      <c r="A146" s="29"/>
      <c r="B146" s="30"/>
      <c r="C146" s="29"/>
      <c r="D146" s="34" t="str">
        <f>IFERROR(VLOOKUP(C146,【台帳】①顧客マスタ!$A$4:$B$105,2,0),"")</f>
        <v/>
      </c>
      <c r="E146" s="29"/>
      <c r="F146" s="29"/>
      <c r="G146" s="35"/>
      <c r="H146" s="36">
        <f t="shared" si="4"/>
        <v>0</v>
      </c>
      <c r="I146" s="29"/>
      <c r="J146" s="29"/>
    </row>
    <row r="147" spans="1:10" ht="19.5" customHeight="1">
      <c r="A147" s="31"/>
      <c r="B147" s="32"/>
      <c r="C147" s="31"/>
      <c r="D147" s="37" t="str">
        <f>IFERROR(VLOOKUP(C147,【台帳】①顧客マスタ!$A$4:$B$105,2,0),"")</f>
        <v/>
      </c>
      <c r="E147" s="31"/>
      <c r="F147" s="31"/>
      <c r="G147" s="38"/>
      <c r="H147" s="39">
        <f t="shared" si="4"/>
        <v>0</v>
      </c>
      <c r="I147" s="31"/>
      <c r="J147" s="31"/>
    </row>
    <row r="148" spans="1:10" ht="19.5" customHeight="1">
      <c r="A148" s="29"/>
      <c r="B148" s="30"/>
      <c r="C148" s="29"/>
      <c r="D148" s="34" t="str">
        <f>IFERROR(VLOOKUP(C148,【台帳】①顧客マスタ!$A$4:$B$105,2,0),"")</f>
        <v/>
      </c>
      <c r="E148" s="29"/>
      <c r="F148" s="29"/>
      <c r="G148" s="35"/>
      <c r="H148" s="36">
        <f t="shared" si="4"/>
        <v>0</v>
      </c>
      <c r="I148" s="29"/>
      <c r="J148" s="29"/>
    </row>
    <row r="149" spans="1:10" ht="19.5" customHeight="1">
      <c r="A149" s="31"/>
      <c r="B149" s="32"/>
      <c r="C149" s="31"/>
      <c r="D149" s="37" t="str">
        <f>IFERROR(VLOOKUP(C149,【台帳】①顧客マスタ!$A$4:$B$105,2,0),"")</f>
        <v/>
      </c>
      <c r="E149" s="31"/>
      <c r="F149" s="31"/>
      <c r="G149" s="38"/>
      <c r="H149" s="39">
        <f t="shared" si="4"/>
        <v>0</v>
      </c>
      <c r="I149" s="31"/>
      <c r="J149" s="31"/>
    </row>
    <row r="150" spans="1:10" ht="19.5" customHeight="1">
      <c r="A150" s="29"/>
      <c r="B150" s="30"/>
      <c r="C150" s="29"/>
      <c r="D150" s="34" t="str">
        <f>IFERROR(VLOOKUP(C150,【台帳】①顧客マスタ!$A$4:$B$105,2,0),"")</f>
        <v/>
      </c>
      <c r="E150" s="29"/>
      <c r="F150" s="29"/>
      <c r="G150" s="35"/>
      <c r="H150" s="36">
        <f t="shared" si="4"/>
        <v>0</v>
      </c>
      <c r="I150" s="29"/>
      <c r="J150" s="29"/>
    </row>
    <row r="151" spans="1:10" ht="19.5" customHeight="1">
      <c r="A151" s="31"/>
      <c r="B151" s="32"/>
      <c r="C151" s="31"/>
      <c r="D151" s="37" t="str">
        <f>IFERROR(VLOOKUP(C151,【台帳】①顧客マスタ!$A$4:$B$105,2,0),"")</f>
        <v/>
      </c>
      <c r="E151" s="31"/>
      <c r="F151" s="31"/>
      <c r="G151" s="38"/>
      <c r="H151" s="39">
        <f t="shared" si="4"/>
        <v>0</v>
      </c>
      <c r="I151" s="31"/>
      <c r="J151" s="31"/>
    </row>
    <row r="152" spans="1:10" ht="19.5" customHeight="1">
      <c r="A152" s="29"/>
      <c r="B152" s="30"/>
      <c r="C152" s="29"/>
      <c r="D152" s="34" t="str">
        <f>IFERROR(VLOOKUP(C152,【台帳】①顧客マスタ!$A$4:$B$105,2,0),"")</f>
        <v/>
      </c>
      <c r="E152" s="29"/>
      <c r="F152" s="29"/>
      <c r="G152" s="35"/>
      <c r="H152" s="36">
        <f t="shared" si="4"/>
        <v>0</v>
      </c>
      <c r="I152" s="29"/>
      <c r="J152" s="29"/>
    </row>
    <row r="153" spans="1:10" ht="19.5" customHeight="1">
      <c r="A153" s="31"/>
      <c r="B153" s="32"/>
      <c r="C153" s="31"/>
      <c r="D153" s="37" t="str">
        <f>IFERROR(VLOOKUP(C153,【台帳】①顧客マスタ!$A$4:$B$105,2,0),"")</f>
        <v/>
      </c>
      <c r="E153" s="31"/>
      <c r="F153" s="31"/>
      <c r="G153" s="38"/>
      <c r="H153" s="39">
        <f t="shared" si="4"/>
        <v>0</v>
      </c>
      <c r="I153" s="31"/>
      <c r="J153" s="31"/>
    </row>
    <row r="154" spans="1:10" ht="19.5" customHeight="1">
      <c r="A154" s="29"/>
      <c r="B154" s="30"/>
      <c r="C154" s="29"/>
      <c r="D154" s="34" t="str">
        <f>IFERROR(VLOOKUP(C154,【台帳】①顧客マスタ!$A$4:$B$105,2,0),"")</f>
        <v/>
      </c>
      <c r="E154" s="29"/>
      <c r="F154" s="29"/>
      <c r="G154" s="35"/>
      <c r="H154" s="36">
        <f t="shared" si="4"/>
        <v>0</v>
      </c>
      <c r="I154" s="29"/>
      <c r="J154" s="29"/>
    </row>
    <row r="155" spans="1:10" ht="19.5" customHeight="1">
      <c r="A155" s="31"/>
      <c r="B155" s="32"/>
      <c r="C155" s="31"/>
      <c r="D155" s="37" t="str">
        <f>IFERROR(VLOOKUP(C155,【台帳】①顧客マスタ!$A$4:$B$105,2,0),"")</f>
        <v/>
      </c>
      <c r="E155" s="31"/>
      <c r="F155" s="31"/>
      <c r="G155" s="38"/>
      <c r="H155" s="39">
        <f t="shared" si="4"/>
        <v>0</v>
      </c>
      <c r="I155" s="31"/>
      <c r="J155" s="31"/>
    </row>
    <row r="156" spans="1:10" ht="19.5" customHeight="1">
      <c r="A156" s="29"/>
      <c r="B156" s="30"/>
      <c r="C156" s="29"/>
      <c r="D156" s="34" t="str">
        <f>IFERROR(VLOOKUP(C156,【台帳】①顧客マスタ!$A$4:$B$105,2,0),"")</f>
        <v/>
      </c>
      <c r="E156" s="29"/>
      <c r="F156" s="29"/>
      <c r="G156" s="35"/>
      <c r="H156" s="36">
        <f t="shared" si="4"/>
        <v>0</v>
      </c>
      <c r="I156" s="29"/>
      <c r="J156" s="29"/>
    </row>
    <row r="157" spans="1:10" ht="19.5" customHeight="1">
      <c r="A157" s="31"/>
      <c r="B157" s="32"/>
      <c r="C157" s="31"/>
      <c r="D157" s="37" t="str">
        <f>IFERROR(VLOOKUP(C157,【台帳】①顧客マスタ!$A$4:$B$105,2,0),"")</f>
        <v/>
      </c>
      <c r="E157" s="31"/>
      <c r="F157" s="31"/>
      <c r="G157" s="38"/>
      <c r="H157" s="39">
        <f t="shared" si="4"/>
        <v>0</v>
      </c>
      <c r="I157" s="31"/>
      <c r="J157" s="31"/>
    </row>
    <row r="158" spans="1:10" ht="19.5" customHeight="1">
      <c r="A158" s="29"/>
      <c r="B158" s="30"/>
      <c r="C158" s="29"/>
      <c r="D158" s="34" t="str">
        <f>IFERROR(VLOOKUP(C158,【台帳】①顧客マスタ!$A$4:$B$105,2,0),"")</f>
        <v/>
      </c>
      <c r="E158" s="29"/>
      <c r="F158" s="29"/>
      <c r="G158" s="35"/>
      <c r="H158" s="36">
        <f t="shared" si="4"/>
        <v>0</v>
      </c>
      <c r="I158" s="29"/>
      <c r="J158" s="29"/>
    </row>
    <row r="159" spans="1:10" ht="19.5" customHeight="1">
      <c r="A159" s="31"/>
      <c r="B159" s="32"/>
      <c r="C159" s="31"/>
      <c r="D159" s="37" t="str">
        <f>IFERROR(VLOOKUP(C159,【台帳】①顧客マスタ!$A$4:$B$105,2,0),"")</f>
        <v/>
      </c>
      <c r="E159" s="31"/>
      <c r="F159" s="31"/>
      <c r="G159" s="38"/>
      <c r="H159" s="39">
        <f t="shared" si="4"/>
        <v>0</v>
      </c>
      <c r="I159" s="31"/>
      <c r="J159" s="31"/>
    </row>
    <row r="160" spans="1:10" ht="19.5" customHeight="1">
      <c r="A160" s="29"/>
      <c r="B160" s="30"/>
      <c r="C160" s="29"/>
      <c r="D160" s="34" t="str">
        <f>IFERROR(VLOOKUP(C160,【台帳】①顧客マスタ!$A$4:$B$105,2,0),"")</f>
        <v/>
      </c>
      <c r="E160" s="29"/>
      <c r="F160" s="29"/>
      <c r="G160" s="35"/>
      <c r="H160" s="36">
        <f t="shared" si="4"/>
        <v>0</v>
      </c>
      <c r="I160" s="29"/>
      <c r="J160" s="29"/>
    </row>
    <row r="161" spans="1:10" ht="19.5" customHeight="1">
      <c r="A161" s="31"/>
      <c r="B161" s="32"/>
      <c r="C161" s="31"/>
      <c r="D161" s="37" t="str">
        <f>IFERROR(VLOOKUP(C161,【台帳】①顧客マスタ!$A$4:$B$105,2,0),"")</f>
        <v/>
      </c>
      <c r="E161" s="31"/>
      <c r="F161" s="31"/>
      <c r="G161" s="38"/>
      <c r="H161" s="39">
        <f t="shared" si="4"/>
        <v>0</v>
      </c>
      <c r="I161" s="31"/>
      <c r="J161" s="31"/>
    </row>
    <row r="162" spans="1:10" ht="19.5" customHeight="1">
      <c r="A162" s="29"/>
      <c r="B162" s="30"/>
      <c r="C162" s="29"/>
      <c r="D162" s="34" t="str">
        <f>IFERROR(VLOOKUP(C162,【台帳】①顧客マスタ!$A$4:$B$105,2,0),"")</f>
        <v/>
      </c>
      <c r="E162" s="29"/>
      <c r="F162" s="29"/>
      <c r="G162" s="35"/>
      <c r="H162" s="36">
        <f t="shared" si="4"/>
        <v>0</v>
      </c>
      <c r="I162" s="29"/>
      <c r="J162" s="29"/>
    </row>
    <row r="163" spans="1:10" ht="19.5" customHeight="1">
      <c r="A163" s="31"/>
      <c r="B163" s="32"/>
      <c r="C163" s="31"/>
      <c r="D163" s="37" t="str">
        <f>IFERROR(VLOOKUP(C163,【台帳】①顧客マスタ!$A$4:$B$105,2,0),"")</f>
        <v/>
      </c>
      <c r="E163" s="31"/>
      <c r="F163" s="31"/>
      <c r="G163" s="38"/>
      <c r="H163" s="39">
        <f t="shared" si="4"/>
        <v>0</v>
      </c>
      <c r="I163" s="31"/>
      <c r="J163" s="31"/>
    </row>
    <row r="164" spans="1:10" ht="19.5" customHeight="1">
      <c r="A164" s="29"/>
      <c r="B164" s="30"/>
      <c r="C164" s="29"/>
      <c r="D164" s="34" t="str">
        <f>IFERROR(VLOOKUP(C164,【台帳】①顧客マスタ!$A$4:$B$105,2,0),"")</f>
        <v/>
      </c>
      <c r="E164" s="29"/>
      <c r="F164" s="29"/>
      <c r="G164" s="35"/>
      <c r="H164" s="36">
        <f t="shared" si="4"/>
        <v>0</v>
      </c>
      <c r="I164" s="29"/>
      <c r="J164" s="29"/>
    </row>
    <row r="165" spans="1:10" ht="19.5" customHeight="1">
      <c r="A165" s="31"/>
      <c r="B165" s="32"/>
      <c r="C165" s="31"/>
      <c r="D165" s="37" t="str">
        <f>IFERROR(VLOOKUP(C165,【台帳】①顧客マスタ!$A$4:$B$105,2,0),"")</f>
        <v/>
      </c>
      <c r="E165" s="31"/>
      <c r="F165" s="31"/>
      <c r="G165" s="38"/>
      <c r="H165" s="39">
        <f t="shared" si="4"/>
        <v>0</v>
      </c>
      <c r="I165" s="31"/>
      <c r="J165" s="31"/>
    </row>
    <row r="166" spans="1:10" ht="19.5" customHeight="1">
      <c r="A166" s="29"/>
      <c r="B166" s="30"/>
      <c r="C166" s="29"/>
      <c r="D166" s="34" t="str">
        <f>IFERROR(VLOOKUP(C166,【台帳】①顧客マスタ!$A$4:$B$105,2,0),"")</f>
        <v/>
      </c>
      <c r="E166" s="29"/>
      <c r="F166" s="29"/>
      <c r="G166" s="35"/>
      <c r="H166" s="36">
        <f t="shared" ref="H166:H197" si="5">IFERROR(F166*G166,"")</f>
        <v>0</v>
      </c>
      <c r="I166" s="29"/>
      <c r="J166" s="29"/>
    </row>
    <row r="167" spans="1:10" ht="19.5" customHeight="1">
      <c r="A167" s="31"/>
      <c r="B167" s="32"/>
      <c r="C167" s="31"/>
      <c r="D167" s="37" t="str">
        <f>IFERROR(VLOOKUP(C167,【台帳】①顧客マスタ!$A$4:$B$105,2,0),"")</f>
        <v/>
      </c>
      <c r="E167" s="31"/>
      <c r="F167" s="31"/>
      <c r="G167" s="38"/>
      <c r="H167" s="39">
        <f t="shared" si="5"/>
        <v>0</v>
      </c>
      <c r="I167" s="31"/>
      <c r="J167" s="31"/>
    </row>
    <row r="168" spans="1:10" ht="19.5" customHeight="1">
      <c r="A168" s="29"/>
      <c r="B168" s="30"/>
      <c r="C168" s="29"/>
      <c r="D168" s="34" t="str">
        <f>IFERROR(VLOOKUP(C168,【台帳】①顧客マスタ!$A$4:$B$105,2,0),"")</f>
        <v/>
      </c>
      <c r="E168" s="29"/>
      <c r="F168" s="29"/>
      <c r="G168" s="35"/>
      <c r="H168" s="36">
        <f t="shared" si="5"/>
        <v>0</v>
      </c>
      <c r="I168" s="29"/>
      <c r="J168" s="29"/>
    </row>
    <row r="169" spans="1:10" ht="19.5" customHeight="1">
      <c r="A169" s="31"/>
      <c r="B169" s="32"/>
      <c r="C169" s="31"/>
      <c r="D169" s="37" t="str">
        <f>IFERROR(VLOOKUP(C169,【台帳】①顧客マスタ!$A$4:$B$105,2,0),"")</f>
        <v/>
      </c>
      <c r="E169" s="31"/>
      <c r="F169" s="31"/>
      <c r="G169" s="38"/>
      <c r="H169" s="39">
        <f t="shared" si="5"/>
        <v>0</v>
      </c>
      <c r="I169" s="31"/>
      <c r="J169" s="31"/>
    </row>
    <row r="170" spans="1:10" ht="19.5" customHeight="1">
      <c r="A170" s="29"/>
      <c r="B170" s="30"/>
      <c r="C170" s="29"/>
      <c r="D170" s="34" t="str">
        <f>IFERROR(VLOOKUP(C170,【台帳】①顧客マスタ!$A$4:$B$105,2,0),"")</f>
        <v/>
      </c>
      <c r="E170" s="29"/>
      <c r="F170" s="29"/>
      <c r="G170" s="35"/>
      <c r="H170" s="36">
        <f t="shared" si="5"/>
        <v>0</v>
      </c>
      <c r="I170" s="29"/>
      <c r="J170" s="29"/>
    </row>
    <row r="171" spans="1:10" ht="19.5" customHeight="1">
      <c r="A171" s="31"/>
      <c r="B171" s="32"/>
      <c r="C171" s="31"/>
      <c r="D171" s="37" t="str">
        <f>IFERROR(VLOOKUP(C171,【台帳】①顧客マスタ!$A$4:$B$105,2,0),"")</f>
        <v/>
      </c>
      <c r="E171" s="31"/>
      <c r="F171" s="31"/>
      <c r="G171" s="38"/>
      <c r="H171" s="39">
        <f t="shared" si="5"/>
        <v>0</v>
      </c>
      <c r="I171" s="31"/>
      <c r="J171" s="31"/>
    </row>
    <row r="172" spans="1:10" ht="19.5" customHeight="1">
      <c r="A172" s="29"/>
      <c r="B172" s="30"/>
      <c r="C172" s="29"/>
      <c r="D172" s="34" t="str">
        <f>IFERROR(VLOOKUP(C172,【台帳】①顧客マスタ!$A$4:$B$105,2,0),"")</f>
        <v/>
      </c>
      <c r="E172" s="29"/>
      <c r="F172" s="29"/>
      <c r="G172" s="35"/>
      <c r="H172" s="36">
        <f t="shared" si="5"/>
        <v>0</v>
      </c>
      <c r="I172" s="29"/>
      <c r="J172" s="29"/>
    </row>
    <row r="173" spans="1:10" ht="19.5" customHeight="1">
      <c r="A173" s="31"/>
      <c r="B173" s="32"/>
      <c r="C173" s="31"/>
      <c r="D173" s="37" t="str">
        <f>IFERROR(VLOOKUP(C173,【台帳】①顧客マスタ!$A$4:$B$105,2,0),"")</f>
        <v/>
      </c>
      <c r="E173" s="31"/>
      <c r="F173" s="31"/>
      <c r="G173" s="38"/>
      <c r="H173" s="39">
        <f t="shared" si="5"/>
        <v>0</v>
      </c>
      <c r="I173" s="31"/>
      <c r="J173" s="31"/>
    </row>
    <row r="174" spans="1:10" ht="19.5" customHeight="1">
      <c r="A174" s="29"/>
      <c r="B174" s="30"/>
      <c r="C174" s="29"/>
      <c r="D174" s="34" t="str">
        <f>IFERROR(VLOOKUP(C174,【台帳】①顧客マスタ!$A$4:$B$105,2,0),"")</f>
        <v/>
      </c>
      <c r="E174" s="29"/>
      <c r="F174" s="29"/>
      <c r="G174" s="35"/>
      <c r="H174" s="36">
        <f t="shared" si="5"/>
        <v>0</v>
      </c>
      <c r="I174" s="29"/>
      <c r="J174" s="29"/>
    </row>
    <row r="175" spans="1:10" ht="19.5" customHeight="1">
      <c r="A175" s="31"/>
      <c r="B175" s="32"/>
      <c r="C175" s="31"/>
      <c r="D175" s="37" t="str">
        <f>IFERROR(VLOOKUP(C175,【台帳】①顧客マスタ!$A$4:$B$105,2,0),"")</f>
        <v/>
      </c>
      <c r="E175" s="31"/>
      <c r="F175" s="31"/>
      <c r="G175" s="38"/>
      <c r="H175" s="39">
        <f t="shared" si="5"/>
        <v>0</v>
      </c>
      <c r="I175" s="31"/>
      <c r="J175" s="31"/>
    </row>
    <row r="176" spans="1:10" ht="19.5" customHeight="1">
      <c r="A176" s="29"/>
      <c r="B176" s="30"/>
      <c r="C176" s="29"/>
      <c r="D176" s="34" t="str">
        <f>IFERROR(VLOOKUP(C176,【台帳】①顧客マスタ!$A$4:$B$105,2,0),"")</f>
        <v/>
      </c>
      <c r="E176" s="29"/>
      <c r="F176" s="29"/>
      <c r="G176" s="35"/>
      <c r="H176" s="36">
        <f t="shared" si="5"/>
        <v>0</v>
      </c>
      <c r="I176" s="29"/>
      <c r="J176" s="29"/>
    </row>
    <row r="177" spans="1:10" ht="19.5" customHeight="1">
      <c r="A177" s="31"/>
      <c r="B177" s="32"/>
      <c r="C177" s="31"/>
      <c r="D177" s="37" t="str">
        <f>IFERROR(VLOOKUP(C177,【台帳】①顧客マスタ!$A$4:$B$105,2,0),"")</f>
        <v/>
      </c>
      <c r="E177" s="31"/>
      <c r="F177" s="31"/>
      <c r="G177" s="38"/>
      <c r="H177" s="39">
        <f t="shared" si="5"/>
        <v>0</v>
      </c>
      <c r="I177" s="31"/>
      <c r="J177" s="31"/>
    </row>
    <row r="178" spans="1:10" ht="19.5" customHeight="1">
      <c r="A178" s="29"/>
      <c r="B178" s="30"/>
      <c r="C178" s="29"/>
      <c r="D178" s="34" t="str">
        <f>IFERROR(VLOOKUP(C178,【台帳】①顧客マスタ!$A$4:$B$105,2,0),"")</f>
        <v/>
      </c>
      <c r="E178" s="29"/>
      <c r="F178" s="29"/>
      <c r="G178" s="35"/>
      <c r="H178" s="36">
        <f t="shared" si="5"/>
        <v>0</v>
      </c>
      <c r="I178" s="29"/>
      <c r="J178" s="29"/>
    </row>
    <row r="179" spans="1:10" ht="19.5" customHeight="1">
      <c r="A179" s="31"/>
      <c r="B179" s="32"/>
      <c r="C179" s="31"/>
      <c r="D179" s="37" t="str">
        <f>IFERROR(VLOOKUP(C179,【台帳】①顧客マスタ!$A$4:$B$105,2,0),"")</f>
        <v/>
      </c>
      <c r="E179" s="31"/>
      <c r="F179" s="31"/>
      <c r="G179" s="38"/>
      <c r="H179" s="39">
        <f t="shared" si="5"/>
        <v>0</v>
      </c>
      <c r="I179" s="31"/>
      <c r="J179" s="31"/>
    </row>
    <row r="180" spans="1:10" ht="19.5" customHeight="1">
      <c r="A180" s="29"/>
      <c r="B180" s="30"/>
      <c r="C180" s="29"/>
      <c r="D180" s="34" t="str">
        <f>IFERROR(VLOOKUP(C180,【台帳】①顧客マスタ!$A$4:$B$105,2,0),"")</f>
        <v/>
      </c>
      <c r="E180" s="29"/>
      <c r="F180" s="29"/>
      <c r="G180" s="35"/>
      <c r="H180" s="36">
        <f t="shared" si="5"/>
        <v>0</v>
      </c>
      <c r="I180" s="29"/>
      <c r="J180" s="29"/>
    </row>
    <row r="181" spans="1:10" ht="19.5" customHeight="1">
      <c r="A181" s="31"/>
      <c r="B181" s="32"/>
      <c r="C181" s="31"/>
      <c r="D181" s="37" t="str">
        <f>IFERROR(VLOOKUP(C181,【台帳】①顧客マスタ!$A$4:$B$105,2,0),"")</f>
        <v/>
      </c>
      <c r="E181" s="31"/>
      <c r="F181" s="31"/>
      <c r="G181" s="38"/>
      <c r="H181" s="39">
        <f t="shared" si="5"/>
        <v>0</v>
      </c>
      <c r="I181" s="31"/>
      <c r="J181" s="31"/>
    </row>
    <row r="182" spans="1:10" ht="19.5" customHeight="1">
      <c r="A182" s="29"/>
      <c r="B182" s="30"/>
      <c r="C182" s="29"/>
      <c r="D182" s="34" t="str">
        <f>IFERROR(VLOOKUP(C182,【台帳】①顧客マスタ!$A$4:$B$105,2,0),"")</f>
        <v/>
      </c>
      <c r="E182" s="29"/>
      <c r="F182" s="29"/>
      <c r="G182" s="35"/>
      <c r="H182" s="36">
        <f t="shared" si="5"/>
        <v>0</v>
      </c>
      <c r="I182" s="29"/>
      <c r="J182" s="29"/>
    </row>
    <row r="183" spans="1:10" ht="19.5" customHeight="1">
      <c r="A183" s="31"/>
      <c r="B183" s="32"/>
      <c r="C183" s="31"/>
      <c r="D183" s="37" t="str">
        <f>IFERROR(VLOOKUP(C183,【台帳】①顧客マスタ!$A$4:$B$105,2,0),"")</f>
        <v/>
      </c>
      <c r="E183" s="31"/>
      <c r="F183" s="31"/>
      <c r="G183" s="38"/>
      <c r="H183" s="39">
        <f t="shared" si="5"/>
        <v>0</v>
      </c>
      <c r="I183" s="31"/>
      <c r="J183" s="31"/>
    </row>
    <row r="184" spans="1:10" ht="19.5" customHeight="1">
      <c r="A184" s="29"/>
      <c r="B184" s="30"/>
      <c r="C184" s="29"/>
      <c r="D184" s="34" t="str">
        <f>IFERROR(VLOOKUP(C184,【台帳】①顧客マスタ!$A$4:$B$105,2,0),"")</f>
        <v/>
      </c>
      <c r="E184" s="29"/>
      <c r="F184" s="29"/>
      <c r="G184" s="35"/>
      <c r="H184" s="36">
        <f t="shared" si="5"/>
        <v>0</v>
      </c>
      <c r="I184" s="29"/>
      <c r="J184" s="29"/>
    </row>
    <row r="185" spans="1:10" ht="19.5" customHeight="1">
      <c r="A185" s="31"/>
      <c r="B185" s="32"/>
      <c r="C185" s="31"/>
      <c r="D185" s="37" t="str">
        <f>IFERROR(VLOOKUP(C185,【台帳】①顧客マスタ!$A$4:$B$105,2,0),"")</f>
        <v/>
      </c>
      <c r="E185" s="31"/>
      <c r="F185" s="31"/>
      <c r="G185" s="38"/>
      <c r="H185" s="39">
        <f t="shared" si="5"/>
        <v>0</v>
      </c>
      <c r="I185" s="31"/>
      <c r="J185" s="31"/>
    </row>
    <row r="186" spans="1:10" ht="19.5" customHeight="1">
      <c r="A186" s="29"/>
      <c r="B186" s="30"/>
      <c r="C186" s="29"/>
      <c r="D186" s="34" t="str">
        <f>IFERROR(VLOOKUP(C186,【台帳】①顧客マスタ!$A$4:$B$105,2,0),"")</f>
        <v/>
      </c>
      <c r="E186" s="29"/>
      <c r="F186" s="29"/>
      <c r="G186" s="35"/>
      <c r="H186" s="36">
        <f t="shared" si="5"/>
        <v>0</v>
      </c>
      <c r="I186" s="29"/>
      <c r="J186" s="29"/>
    </row>
    <row r="187" spans="1:10" ht="19.5" customHeight="1">
      <c r="A187" s="31"/>
      <c r="B187" s="32"/>
      <c r="C187" s="31"/>
      <c r="D187" s="37" t="str">
        <f>IFERROR(VLOOKUP(C187,【台帳】①顧客マスタ!$A$4:$B$105,2,0),"")</f>
        <v/>
      </c>
      <c r="E187" s="31"/>
      <c r="F187" s="31"/>
      <c r="G187" s="38"/>
      <c r="H187" s="39">
        <f t="shared" si="5"/>
        <v>0</v>
      </c>
      <c r="I187" s="31"/>
      <c r="J187" s="31"/>
    </row>
    <row r="188" spans="1:10" ht="19.5" customHeight="1">
      <c r="A188" s="29"/>
      <c r="B188" s="30"/>
      <c r="C188" s="29"/>
      <c r="D188" s="34" t="str">
        <f>IFERROR(VLOOKUP(C188,【台帳】①顧客マスタ!$A$4:$B$105,2,0),"")</f>
        <v/>
      </c>
      <c r="E188" s="29"/>
      <c r="F188" s="29"/>
      <c r="G188" s="35"/>
      <c r="H188" s="36">
        <f t="shared" si="5"/>
        <v>0</v>
      </c>
      <c r="I188" s="29"/>
      <c r="J188" s="29"/>
    </row>
    <row r="189" spans="1:10" ht="19.5" customHeight="1">
      <c r="A189" s="31"/>
      <c r="B189" s="32"/>
      <c r="C189" s="31"/>
      <c r="D189" s="37" t="str">
        <f>IFERROR(VLOOKUP(C189,【台帳】①顧客マスタ!$A$4:$B$105,2,0),"")</f>
        <v/>
      </c>
      <c r="E189" s="31"/>
      <c r="F189" s="31"/>
      <c r="G189" s="38"/>
      <c r="H189" s="39">
        <f t="shared" si="5"/>
        <v>0</v>
      </c>
      <c r="I189" s="31"/>
      <c r="J189" s="31"/>
    </row>
    <row r="190" spans="1:10" ht="19.5" customHeight="1">
      <c r="A190" s="29"/>
      <c r="B190" s="30"/>
      <c r="C190" s="29"/>
      <c r="D190" s="34" t="str">
        <f>IFERROR(VLOOKUP(C190,【台帳】①顧客マスタ!$A$4:$B$105,2,0),"")</f>
        <v/>
      </c>
      <c r="E190" s="29"/>
      <c r="F190" s="29"/>
      <c r="G190" s="35"/>
      <c r="H190" s="36">
        <f t="shared" si="5"/>
        <v>0</v>
      </c>
      <c r="I190" s="29"/>
      <c r="J190" s="29"/>
    </row>
    <row r="191" spans="1:10" ht="19.5" customHeight="1">
      <c r="A191" s="31"/>
      <c r="B191" s="32"/>
      <c r="C191" s="31"/>
      <c r="D191" s="37" t="str">
        <f>IFERROR(VLOOKUP(C191,【台帳】①顧客マスタ!$A$4:$B$105,2,0),"")</f>
        <v/>
      </c>
      <c r="E191" s="31"/>
      <c r="F191" s="31"/>
      <c r="G191" s="38"/>
      <c r="H191" s="39">
        <f t="shared" si="5"/>
        <v>0</v>
      </c>
      <c r="I191" s="31"/>
      <c r="J191" s="31"/>
    </row>
    <row r="192" spans="1:10" ht="19.5" customHeight="1">
      <c r="A192" s="29"/>
      <c r="B192" s="30"/>
      <c r="C192" s="29"/>
      <c r="D192" s="34" t="str">
        <f>IFERROR(VLOOKUP(C192,【台帳】①顧客マスタ!$A$4:$B$105,2,0),"")</f>
        <v/>
      </c>
      <c r="E192" s="29"/>
      <c r="F192" s="29"/>
      <c r="G192" s="35"/>
      <c r="H192" s="36">
        <f t="shared" si="5"/>
        <v>0</v>
      </c>
      <c r="I192" s="29"/>
      <c r="J192" s="29"/>
    </row>
    <row r="193" spans="1:10" ht="19.5" customHeight="1">
      <c r="A193" s="31"/>
      <c r="B193" s="32"/>
      <c r="C193" s="31"/>
      <c r="D193" s="37" t="str">
        <f>IFERROR(VLOOKUP(C193,【台帳】①顧客マスタ!$A$4:$B$105,2,0),"")</f>
        <v/>
      </c>
      <c r="E193" s="31"/>
      <c r="F193" s="31"/>
      <c r="G193" s="38"/>
      <c r="H193" s="39">
        <f t="shared" si="5"/>
        <v>0</v>
      </c>
      <c r="I193" s="31"/>
      <c r="J193" s="31"/>
    </row>
    <row r="194" spans="1:10" ht="19.5" customHeight="1">
      <c r="A194" s="29"/>
      <c r="B194" s="30"/>
      <c r="C194" s="29"/>
      <c r="D194" s="34" t="str">
        <f>IFERROR(VLOOKUP(C194,【台帳】①顧客マスタ!$A$4:$B$105,2,0),"")</f>
        <v/>
      </c>
      <c r="E194" s="29"/>
      <c r="F194" s="29"/>
      <c r="G194" s="35"/>
      <c r="H194" s="36">
        <f t="shared" si="5"/>
        <v>0</v>
      </c>
      <c r="I194" s="29"/>
      <c r="J194" s="29"/>
    </row>
    <row r="195" spans="1:10" ht="19.5" customHeight="1">
      <c r="A195" s="31"/>
      <c r="B195" s="32"/>
      <c r="C195" s="31"/>
      <c r="D195" s="37" t="str">
        <f>IFERROR(VLOOKUP(C195,【台帳】①顧客マスタ!$A$4:$B$105,2,0),"")</f>
        <v/>
      </c>
      <c r="E195" s="31"/>
      <c r="F195" s="31"/>
      <c r="G195" s="38"/>
      <c r="H195" s="39">
        <f t="shared" si="5"/>
        <v>0</v>
      </c>
      <c r="I195" s="31"/>
      <c r="J195" s="31"/>
    </row>
    <row r="196" spans="1:10" ht="19.5" customHeight="1">
      <c r="A196" s="29"/>
      <c r="B196" s="30"/>
      <c r="C196" s="29"/>
      <c r="D196" s="34" t="str">
        <f>IFERROR(VLOOKUP(C196,【台帳】①顧客マスタ!$A$4:$B$105,2,0),"")</f>
        <v/>
      </c>
      <c r="E196" s="29"/>
      <c r="F196" s="29"/>
      <c r="G196" s="35"/>
      <c r="H196" s="36">
        <f t="shared" si="5"/>
        <v>0</v>
      </c>
      <c r="I196" s="29"/>
      <c r="J196" s="29"/>
    </row>
    <row r="197" spans="1:10" ht="19.5" customHeight="1">
      <c r="A197" s="31"/>
      <c r="B197" s="32"/>
      <c r="C197" s="31"/>
      <c r="D197" s="37" t="str">
        <f>IFERROR(VLOOKUP(C197,【台帳】①顧客マスタ!$A$4:$B$105,2,0),"")</f>
        <v/>
      </c>
      <c r="E197" s="31"/>
      <c r="F197" s="31"/>
      <c r="G197" s="38"/>
      <c r="H197" s="39">
        <f t="shared" si="5"/>
        <v>0</v>
      </c>
      <c r="I197" s="31"/>
      <c r="J197" s="31"/>
    </row>
    <row r="198" spans="1:10" ht="19.5" customHeight="1">
      <c r="A198" s="29"/>
      <c r="B198" s="30"/>
      <c r="C198" s="29"/>
      <c r="D198" s="34" t="str">
        <f>IFERROR(VLOOKUP(C198,【台帳】①顧客マスタ!$A$4:$B$105,2,0),"")</f>
        <v/>
      </c>
      <c r="E198" s="29"/>
      <c r="F198" s="29"/>
      <c r="G198" s="35"/>
      <c r="H198" s="36">
        <f t="shared" ref="H198:H229" si="6">IFERROR(F198*G198,"")</f>
        <v>0</v>
      </c>
      <c r="I198" s="29"/>
      <c r="J198" s="29"/>
    </row>
    <row r="199" spans="1:10" ht="19.5" customHeight="1">
      <c r="A199" s="31"/>
      <c r="B199" s="32"/>
      <c r="C199" s="31"/>
      <c r="D199" s="37" t="str">
        <f>IFERROR(VLOOKUP(C199,【台帳】①顧客マスタ!$A$4:$B$105,2,0),"")</f>
        <v/>
      </c>
      <c r="E199" s="31"/>
      <c r="F199" s="31"/>
      <c r="G199" s="38"/>
      <c r="H199" s="39">
        <f t="shared" si="6"/>
        <v>0</v>
      </c>
      <c r="I199" s="31"/>
      <c r="J199" s="31"/>
    </row>
    <row r="200" spans="1:10" ht="19.5" customHeight="1">
      <c r="A200" s="29"/>
      <c r="B200" s="30"/>
      <c r="C200" s="29"/>
      <c r="D200" s="34" t="str">
        <f>IFERROR(VLOOKUP(C200,【台帳】①顧客マスタ!$A$4:$B$105,2,0),"")</f>
        <v/>
      </c>
      <c r="E200" s="29"/>
      <c r="F200" s="29"/>
      <c r="G200" s="35"/>
      <c r="H200" s="36">
        <f t="shared" si="6"/>
        <v>0</v>
      </c>
      <c r="I200" s="29"/>
      <c r="J200" s="29"/>
    </row>
    <row r="201" spans="1:10" ht="19.5" customHeight="1">
      <c r="A201" s="31"/>
      <c r="B201" s="32"/>
      <c r="C201" s="31"/>
      <c r="D201" s="37" t="str">
        <f>IFERROR(VLOOKUP(C201,【台帳】①顧客マスタ!$A$4:$B$105,2,0),"")</f>
        <v/>
      </c>
      <c r="E201" s="31"/>
      <c r="F201" s="31"/>
      <c r="G201" s="38"/>
      <c r="H201" s="39">
        <f t="shared" si="6"/>
        <v>0</v>
      </c>
      <c r="I201" s="31"/>
      <c r="J201" s="31"/>
    </row>
    <row r="202" spans="1:10" ht="19.5" customHeight="1">
      <c r="A202" s="29"/>
      <c r="B202" s="30"/>
      <c r="C202" s="29"/>
      <c r="D202" s="34" t="str">
        <f>IFERROR(VLOOKUP(C202,【台帳】①顧客マスタ!$A$4:$B$105,2,0),"")</f>
        <v/>
      </c>
      <c r="E202" s="29"/>
      <c r="F202" s="29"/>
      <c r="G202" s="35"/>
      <c r="H202" s="36">
        <f t="shared" si="6"/>
        <v>0</v>
      </c>
      <c r="I202" s="29"/>
      <c r="J202" s="29"/>
    </row>
    <row r="203" spans="1:10" ht="19.5" customHeight="1">
      <c r="A203" s="31"/>
      <c r="B203" s="32"/>
      <c r="C203" s="31"/>
      <c r="D203" s="37" t="str">
        <f>IFERROR(VLOOKUP(C203,【台帳】①顧客マスタ!$A$4:$B$105,2,0),"")</f>
        <v/>
      </c>
      <c r="E203" s="31"/>
      <c r="F203" s="31"/>
      <c r="G203" s="38"/>
      <c r="H203" s="39">
        <f t="shared" si="6"/>
        <v>0</v>
      </c>
      <c r="I203" s="31"/>
      <c r="J203" s="31"/>
    </row>
    <row r="204" spans="1:10" ht="19.5" customHeight="1">
      <c r="A204" s="29"/>
      <c r="B204" s="30"/>
      <c r="C204" s="29"/>
      <c r="D204" s="34" t="str">
        <f>IFERROR(VLOOKUP(C204,【台帳】①顧客マスタ!$A$4:$B$105,2,0),"")</f>
        <v/>
      </c>
      <c r="E204" s="29"/>
      <c r="F204" s="29"/>
      <c r="G204" s="35"/>
      <c r="H204" s="36">
        <f t="shared" si="6"/>
        <v>0</v>
      </c>
      <c r="I204" s="29"/>
      <c r="J204" s="29"/>
    </row>
    <row r="205" spans="1:10" ht="19.5" customHeight="1">
      <c r="A205" s="31"/>
      <c r="B205" s="32"/>
      <c r="C205" s="31"/>
      <c r="D205" s="37" t="str">
        <f>IFERROR(VLOOKUP(C205,【台帳】①顧客マスタ!$A$4:$B$105,2,0),"")</f>
        <v/>
      </c>
      <c r="E205" s="31"/>
      <c r="F205" s="31"/>
      <c r="G205" s="38"/>
      <c r="H205" s="39">
        <f t="shared" si="6"/>
        <v>0</v>
      </c>
      <c r="I205" s="31"/>
      <c r="J205" s="31"/>
    </row>
  </sheetData>
  <mergeCells count="2">
    <mergeCell ref="A1:J1"/>
    <mergeCell ref="A2:J2"/>
  </mergeCells>
  <phoneticPr fontId="37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8788"/>
  </sheetPr>
  <dimension ref="A1:J16"/>
  <sheetViews>
    <sheetView zoomScaleNormal="100" workbookViewId="0">
      <selection sqref="A1:J1"/>
    </sheetView>
  </sheetViews>
  <sheetFormatPr defaultColWidth="8.6328125" defaultRowHeight="14.5"/>
  <cols>
    <col min="1" max="1" width="13" customWidth="1"/>
    <col min="2" max="2" width="28" customWidth="1"/>
    <col min="3" max="3" width="8" customWidth="1"/>
    <col min="4" max="6" width="14" customWidth="1"/>
    <col min="7" max="7" width="20" customWidth="1"/>
  </cols>
  <sheetData>
    <row r="1" spans="1:10" ht="24" customHeight="1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</row>
    <row r="2" spans="1:10" ht="15.75" customHeight="1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</row>
    <row r="3" spans="1:10" ht="30" customHeight="1">
      <c r="A3" s="40" t="s">
        <v>48</v>
      </c>
      <c r="B3" s="41" t="s">
        <v>56</v>
      </c>
    </row>
    <row r="4" spans="1:10" ht="9.75" customHeight="1"/>
    <row r="5" spans="1:10" ht="19.5" customHeight="1">
      <c r="A5" s="42" t="s">
        <v>49</v>
      </c>
      <c r="B5" s="6" t="str">
        <f>IFERROR(VLOOKUP($B$3,【台帳】①顧客マスタ!$A$4:$H$105,2,0),"")</f>
        <v>山田太郎</v>
      </c>
      <c r="C5" s="6"/>
      <c r="D5" s="6"/>
      <c r="E5" s="6"/>
      <c r="F5" s="6"/>
      <c r="G5" s="6"/>
    </row>
    <row r="6" spans="1:10" ht="19.5" customHeight="1">
      <c r="A6" s="42" t="s">
        <v>50</v>
      </c>
      <c r="B6" s="6" t="str">
        <f>IFERROR(VLOOKUP($B$3,【台帳】①顧客マスタ!$A$4:$H$105,3,0),"")</f>
        <v>ヤマダタロウ</v>
      </c>
      <c r="C6" s="6"/>
      <c r="D6" s="6"/>
      <c r="E6" s="6"/>
      <c r="F6" s="6"/>
      <c r="G6" s="6"/>
    </row>
    <row r="7" spans="1:10" ht="19.5" customHeight="1">
      <c r="A7" s="42" t="s">
        <v>51</v>
      </c>
      <c r="B7" s="6" t="str">
        <f>IFERROR(VLOOKUP($B$3,【台帳】①顧客マスタ!$A$4:$H$105,4,0),"")</f>
        <v>090-1234-5678</v>
      </c>
      <c r="C7" s="6"/>
      <c r="D7" s="6"/>
      <c r="E7" s="6"/>
      <c r="F7" s="6"/>
      <c r="G7" s="6"/>
    </row>
    <row r="8" spans="1:10" ht="19.5" customHeight="1">
      <c r="A8" s="42" t="s">
        <v>52</v>
      </c>
      <c r="B8" s="6" t="str">
        <f>IFERROR(VLOOKUP($B$3,【台帳】①顧客マスタ!$A$4:$H$105,5,0),"")</f>
        <v>yamada@example.com</v>
      </c>
      <c r="C8" s="6"/>
      <c r="D8" s="6"/>
      <c r="E8" s="6"/>
      <c r="F8" s="6"/>
      <c r="G8" s="6"/>
    </row>
    <row r="9" spans="1:10" ht="19.5" customHeight="1">
      <c r="A9" s="42" t="s">
        <v>53</v>
      </c>
      <c r="B9" s="6" t="str">
        <f>IFERROR(VLOOKUP($B$3,【台帳】①顧客マスタ!$A$4:$H$105,6,0),"")</f>
        <v>東京都渋谷区〇〇1-2-3</v>
      </c>
      <c r="C9" s="6"/>
      <c r="D9" s="6"/>
      <c r="E9" s="6"/>
      <c r="F9" s="6"/>
      <c r="G9" s="6"/>
    </row>
    <row r="10" spans="1:10" ht="19.5" customHeight="1">
      <c r="A10" s="42" t="s">
        <v>54</v>
      </c>
      <c r="B10" s="5">
        <f>IFERROR(VLOOKUP($B$3,【台帳】①顧客マスタ!$A$4:$H$105,7,0),"")</f>
        <v>46032</v>
      </c>
      <c r="C10" s="5"/>
      <c r="D10" s="5"/>
      <c r="E10" s="5"/>
      <c r="F10" s="5"/>
      <c r="G10" s="5"/>
    </row>
    <row r="12" spans="1:10" ht="9.75" customHeight="1"/>
    <row r="13" spans="1:10" ht="9.75" customHeight="1">
      <c r="A13" s="43" t="s">
        <v>87</v>
      </c>
    </row>
    <row r="14" spans="1:10" ht="25.5" customHeight="1">
      <c r="A14" s="44" t="s">
        <v>72</v>
      </c>
      <c r="B14" s="44" t="s">
        <v>74</v>
      </c>
      <c r="C14" s="44" t="s">
        <v>75</v>
      </c>
      <c r="D14" s="44" t="s">
        <v>76</v>
      </c>
      <c r="E14" s="44" t="s">
        <v>77</v>
      </c>
      <c r="F14" s="44" t="s">
        <v>78</v>
      </c>
      <c r="G14" s="44" t="s">
        <v>55</v>
      </c>
    </row>
    <row r="15" spans="1:10" ht="15" customHeight="1">
      <c r="A15" s="4" t="str">
        <f>IFERROR("※ 購買記録シートをフィルタして顧客IDで絞り込んでください（Ctrl+Shift+L）","")</f>
        <v>※ 購買記録シートをフィルタして顧客IDで絞り込んでください（Ctrl+Shift+L）</v>
      </c>
      <c r="B15" s="4"/>
      <c r="C15" s="4"/>
      <c r="D15" s="4"/>
      <c r="E15" s="4"/>
      <c r="F15" s="4"/>
      <c r="G15" s="4"/>
    </row>
    <row r="16" spans="1:10" ht="21.75" customHeight="1">
      <c r="A16" s="44" t="s">
        <v>88</v>
      </c>
      <c r="B16" s="3">
        <f>SUMIF(【台帳】②購買記録!$C$4:$C$205,$B$3,【台帳】②購買記録!$H$4:$H$205)</f>
        <v>15000</v>
      </c>
      <c r="C16" s="3"/>
      <c r="D16" s="3"/>
      <c r="E16" s="3"/>
    </row>
  </sheetData>
  <mergeCells count="10">
    <mergeCell ref="B8:G8"/>
    <mergeCell ref="B9:G9"/>
    <mergeCell ref="B10:G10"/>
    <mergeCell ref="A15:G15"/>
    <mergeCell ref="B16:E16"/>
    <mergeCell ref="A1:J1"/>
    <mergeCell ref="A2:J2"/>
    <mergeCell ref="B5:G5"/>
    <mergeCell ref="B6:G6"/>
    <mergeCell ref="B7:G7"/>
  </mergeCells>
  <phoneticPr fontId="37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8788"/>
  </sheetPr>
  <dimension ref="A1:J3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J1"/>
    </sheetView>
  </sheetViews>
  <sheetFormatPr defaultColWidth="8.6328125" defaultRowHeight="14.5"/>
  <cols>
    <col min="1" max="1" width="10" customWidth="1"/>
    <col min="2" max="2" width="18" customWidth="1"/>
    <col min="3" max="3" width="20" customWidth="1"/>
    <col min="4" max="4" width="13" customWidth="1"/>
  </cols>
  <sheetData>
    <row r="1" spans="1:10" ht="24" customHeight="1">
      <c r="A1" s="9" t="s">
        <v>89</v>
      </c>
      <c r="B1" s="9"/>
      <c r="C1" s="9"/>
      <c r="D1" s="9"/>
      <c r="E1" s="9"/>
      <c r="F1" s="9"/>
      <c r="G1" s="9"/>
      <c r="H1" s="9"/>
      <c r="I1" s="9"/>
      <c r="J1" s="9"/>
    </row>
    <row r="2" spans="1:10" ht="15.75" customHeight="1">
      <c r="A2" s="8" t="s">
        <v>90</v>
      </c>
      <c r="B2" s="8"/>
      <c r="C2" s="8"/>
      <c r="D2" s="8"/>
      <c r="E2" s="8"/>
      <c r="F2" s="8"/>
      <c r="G2" s="8"/>
      <c r="H2" s="8"/>
      <c r="I2" s="8"/>
      <c r="J2" s="8"/>
    </row>
    <row r="4" spans="1:10" ht="21.75" customHeight="1">
      <c r="A4" s="43" t="s">
        <v>91</v>
      </c>
    </row>
    <row r="5" spans="1:10" ht="25.5" customHeight="1">
      <c r="A5" s="40" t="s">
        <v>92</v>
      </c>
      <c r="B5" s="40" t="s">
        <v>93</v>
      </c>
      <c r="C5" s="40" t="s">
        <v>94</v>
      </c>
    </row>
    <row r="6" spans="1:10" ht="19.5" customHeight="1">
      <c r="A6" s="45" t="s">
        <v>95</v>
      </c>
      <c r="B6" s="46">
        <f ca="1">SUMPRODUCT((ISNUMBER(【台帳】②購買記録!$B$4:$B$205))*(MONTH(IF(ISNUMBER(【台帳】②購買記録!$B$4:$B$205),【台帳】②購買記録!$B$4:$B$205,TODAY()))=1)*(【台帳】②購買記録!$H$4:$H$205))</f>
        <v>0</v>
      </c>
      <c r="C6" s="47">
        <f ca="1">SUMPRODUCT((ISNUMBER(【台帳】②購買記録!$B$4:$B$205))*(MONTH(IF(ISNUMBER(【台帳】②購買記録!$B$4:$B$205),【台帳】②購買記録!$B$4:$B$205,TODAY()))=1)*(【台帳】②購買記録!$H$4:$H$205&gt;0))</f>
        <v>0</v>
      </c>
    </row>
    <row r="7" spans="1:10" ht="19.5" customHeight="1">
      <c r="A7" s="48" t="s">
        <v>96</v>
      </c>
      <c r="B7" s="39">
        <f ca="1">SUMPRODUCT((ISNUMBER(【台帳】②購買記録!$B$4:$B$205))*(MONTH(IF(ISNUMBER(【台帳】②購買記録!$B$4:$B$205),【台帳】②購買記録!$B$4:$B$205,TODAY()))=2)*(【台帳】②購買記録!$H$4:$H$205))</f>
        <v>0</v>
      </c>
      <c r="C7" s="49">
        <f ca="1">SUMPRODUCT((ISNUMBER(【台帳】②購買記録!$B$4:$B$205))*(MONTH(IF(ISNUMBER(【台帳】②購買記録!$B$4:$B$205),【台帳】②購買記録!$B$4:$B$205,TODAY()))=2)*(【台帳】②購買記録!$H$4:$H$205&gt;0))</f>
        <v>0</v>
      </c>
    </row>
    <row r="8" spans="1:10" ht="19.5" customHeight="1">
      <c r="A8" s="45" t="s">
        <v>97</v>
      </c>
      <c r="B8" s="46">
        <f ca="1">SUMPRODUCT((ISNUMBER(【台帳】②購買記録!$B$4:$B$205))*(MONTH(IF(ISNUMBER(【台帳】②購買記録!$B$4:$B$205),【台帳】②購買記録!$B$4:$B$205,TODAY()))=3)*(【台帳】②購買記録!$H$4:$H$205))</f>
        <v>0</v>
      </c>
      <c r="C8" s="47">
        <f ca="1">SUMPRODUCT((ISNUMBER(【台帳】②購買記録!$B$4:$B$205))*(MONTH(IF(ISNUMBER(【台帳】②購買記録!$B$4:$B$205),【台帳】②購買記録!$B$4:$B$205,TODAY()))=3)*(【台帳】②購買記録!$H$4:$H$205&gt;0))</f>
        <v>0</v>
      </c>
    </row>
    <row r="9" spans="1:10" ht="19.5" customHeight="1">
      <c r="A9" s="48" t="s">
        <v>98</v>
      </c>
      <c r="B9" s="39">
        <f ca="1">SUMPRODUCT((ISNUMBER(【台帳】②購買記録!$B$4:$B$205))*(MONTH(IF(ISNUMBER(【台帳】②購買記録!$B$4:$B$205),【台帳】②購買記録!$B$4:$B$205,TODAY()))=4)*(【台帳】②購買記録!$H$4:$H$205))</f>
        <v>0</v>
      </c>
      <c r="C9" s="49">
        <f ca="1">SUMPRODUCT((ISNUMBER(【台帳】②購買記録!$B$4:$B$205))*(MONTH(IF(ISNUMBER(【台帳】②購買記録!$B$4:$B$205),【台帳】②購買記録!$B$4:$B$205,TODAY()))=4)*(【台帳】②購買記録!$H$4:$H$205&gt;0))</f>
        <v>0</v>
      </c>
    </row>
    <row r="10" spans="1:10" ht="19.5" customHeight="1">
      <c r="A10" s="45" t="s">
        <v>99</v>
      </c>
      <c r="B10" s="46">
        <f ca="1">SUMPRODUCT((ISNUMBER(【台帳】②購買記録!$B$4:$B$205))*(MONTH(IF(ISNUMBER(【台帳】②購買記録!$B$4:$B$205),【台帳】②購買記録!$B$4:$B$205,TODAY()))=5)*(【台帳】②購買記録!$H$4:$H$205))</f>
        <v>20500</v>
      </c>
      <c r="C10" s="47">
        <f ca="1">SUMPRODUCT((ISNUMBER(【台帳】②購買記録!$B$4:$B$205))*(MONTH(IF(ISNUMBER(【台帳】②購買記録!$B$4:$B$205),【台帳】②購買記録!$B$4:$B$205,TODAY()))=5)*(【台帳】②購買記録!$H$4:$H$205&gt;0))</f>
        <v>2</v>
      </c>
    </row>
    <row r="11" spans="1:10" ht="19.5" customHeight="1">
      <c r="A11" s="48" t="s">
        <v>100</v>
      </c>
      <c r="B11" s="39">
        <f ca="1">SUMPRODUCT((ISNUMBER(【台帳】②購買記録!$B$4:$B$205))*(MONTH(IF(ISNUMBER(【台帳】②購買記録!$B$4:$B$205),【台帳】②購買記録!$B$4:$B$205,TODAY()))=6)*(【台帳】②購買記録!$H$4:$H$205))</f>
        <v>0</v>
      </c>
      <c r="C11" s="49">
        <f ca="1">SUMPRODUCT((ISNUMBER(【台帳】②購買記録!$B$4:$B$205))*(MONTH(IF(ISNUMBER(【台帳】②購買記録!$B$4:$B$205),【台帳】②購買記録!$B$4:$B$205,TODAY()))=6)*(【台帳】②購買記録!$H$4:$H$205&gt;0))</f>
        <v>0</v>
      </c>
    </row>
    <row r="12" spans="1:10" ht="19.5" customHeight="1">
      <c r="A12" s="45" t="s">
        <v>101</v>
      </c>
      <c r="B12" s="46">
        <f ca="1">SUMPRODUCT((ISNUMBER(【台帳】②購買記録!$B$4:$B$205))*(MONTH(IF(ISNUMBER(【台帳】②購買記録!$B$4:$B$205),【台帳】②購買記録!$B$4:$B$205,TODAY()))=7)*(【台帳】②購買記録!$H$4:$H$205))</f>
        <v>0</v>
      </c>
      <c r="C12" s="47">
        <f ca="1">SUMPRODUCT((ISNUMBER(【台帳】②購買記録!$B$4:$B$205))*(MONTH(IF(ISNUMBER(【台帳】②購買記録!$B$4:$B$205),【台帳】②購買記録!$B$4:$B$205,TODAY()))=7)*(【台帳】②購買記録!$H$4:$H$205&gt;0))</f>
        <v>0</v>
      </c>
    </row>
    <row r="13" spans="1:10" ht="19.5" customHeight="1">
      <c r="A13" s="48" t="s">
        <v>102</v>
      </c>
      <c r="B13" s="39">
        <f ca="1">SUMPRODUCT((ISNUMBER(【台帳】②購買記録!$B$4:$B$205))*(MONTH(IF(ISNUMBER(【台帳】②購買記録!$B$4:$B$205),【台帳】②購買記録!$B$4:$B$205,TODAY()))=8)*(【台帳】②購買記録!$H$4:$H$205))</f>
        <v>0</v>
      </c>
      <c r="C13" s="49">
        <f ca="1">SUMPRODUCT((ISNUMBER(【台帳】②購買記録!$B$4:$B$205))*(MONTH(IF(ISNUMBER(【台帳】②購買記録!$B$4:$B$205),【台帳】②購買記録!$B$4:$B$205,TODAY()))=8)*(【台帳】②購買記録!$H$4:$H$205&gt;0))</f>
        <v>0</v>
      </c>
    </row>
    <row r="14" spans="1:10" ht="19.5" customHeight="1">
      <c r="A14" s="45" t="s">
        <v>103</v>
      </c>
      <c r="B14" s="46">
        <f ca="1">SUMPRODUCT((ISNUMBER(【台帳】②購買記録!$B$4:$B$205))*(MONTH(IF(ISNUMBER(【台帳】②購買記録!$B$4:$B$205),【台帳】②購買記録!$B$4:$B$205,TODAY()))=9)*(【台帳】②購買記録!$H$4:$H$205))</f>
        <v>0</v>
      </c>
      <c r="C14" s="47">
        <f ca="1">SUMPRODUCT((ISNUMBER(【台帳】②購買記録!$B$4:$B$205))*(MONTH(IF(ISNUMBER(【台帳】②購買記録!$B$4:$B$205),【台帳】②購買記録!$B$4:$B$205,TODAY()))=9)*(【台帳】②購買記録!$H$4:$H$205&gt;0))</f>
        <v>0</v>
      </c>
    </row>
    <row r="15" spans="1:10" ht="19.5" customHeight="1">
      <c r="A15" s="48" t="s">
        <v>104</v>
      </c>
      <c r="B15" s="39">
        <f ca="1">SUMPRODUCT((ISNUMBER(【台帳】②購買記録!$B$4:$B$205))*(MONTH(IF(ISNUMBER(【台帳】②購買記録!$B$4:$B$205),【台帳】②購買記録!$B$4:$B$205,TODAY()))=10)*(【台帳】②購買記録!$H$4:$H$205))</f>
        <v>0</v>
      </c>
      <c r="C15" s="49">
        <f ca="1">SUMPRODUCT((ISNUMBER(【台帳】②購買記録!$B$4:$B$205))*(MONTH(IF(ISNUMBER(【台帳】②購買記録!$B$4:$B$205),【台帳】②購買記録!$B$4:$B$205,TODAY()))=10)*(【台帳】②購買記録!$H$4:$H$205&gt;0))</f>
        <v>0</v>
      </c>
    </row>
    <row r="16" spans="1:10" ht="19.5" customHeight="1">
      <c r="A16" s="45" t="s">
        <v>105</v>
      </c>
      <c r="B16" s="46">
        <f ca="1">SUMPRODUCT((ISNUMBER(【台帳】②購買記録!$B$4:$B$205))*(MONTH(IF(ISNUMBER(【台帳】②購買記録!$B$4:$B$205),【台帳】②購買記録!$B$4:$B$205,TODAY()))=11)*(【台帳】②購買記録!$H$4:$H$205))</f>
        <v>0</v>
      </c>
      <c r="C16" s="47">
        <f ca="1">SUMPRODUCT((ISNUMBER(【台帳】②購買記録!$B$4:$B$205))*(MONTH(IF(ISNUMBER(【台帳】②購買記録!$B$4:$B$205),【台帳】②購買記録!$B$4:$B$205,TODAY()))=11)*(【台帳】②購買記録!$H$4:$H$205&gt;0))</f>
        <v>0</v>
      </c>
    </row>
    <row r="17" spans="1:4" ht="19.5" customHeight="1">
      <c r="A17" s="48" t="s">
        <v>106</v>
      </c>
      <c r="B17" s="39">
        <f ca="1">SUMPRODUCT((ISNUMBER(【台帳】②購買記録!$B$4:$B$205))*(MONTH(IF(ISNUMBER(【台帳】②購買記録!$B$4:$B$205),【台帳】②購買記録!$B$4:$B$205,TODAY()))=12)*(【台帳】②購買記録!$H$4:$H$205))</f>
        <v>0</v>
      </c>
      <c r="C17" s="49">
        <f ca="1">SUMPRODUCT((ISNUMBER(【台帳】②購買記録!$B$4:$B$205))*(MONTH(IF(ISNUMBER(【台帳】②購買記録!$B$4:$B$205),【台帳】②購買記録!$B$4:$B$205,TODAY()))=12)*(【台帳】②購買記録!$H$4:$H$205&gt;0))</f>
        <v>0</v>
      </c>
    </row>
    <row r="18" spans="1:4" ht="24" customHeight="1">
      <c r="A18" s="40" t="s">
        <v>107</v>
      </c>
      <c r="B18" s="50">
        <f ca="1">SUM(B6:B17)</f>
        <v>20500</v>
      </c>
      <c r="C18" s="40">
        <f ca="1">SUM(C6:C17)</f>
        <v>2</v>
      </c>
    </row>
    <row r="20" spans="1:4" ht="21.75" customHeight="1">
      <c r="A20" s="43" t="s">
        <v>108</v>
      </c>
    </row>
    <row r="21" spans="1:4" ht="25.5" customHeight="1">
      <c r="A21" s="51" t="s">
        <v>48</v>
      </c>
      <c r="B21" s="51" t="s">
        <v>109</v>
      </c>
      <c r="C21" s="51" t="s">
        <v>110</v>
      </c>
      <c r="D21" s="51" t="s">
        <v>111</v>
      </c>
    </row>
    <row r="22" spans="1:4" ht="19.5" customHeight="1">
      <c r="A22" s="4" t="s">
        <v>112</v>
      </c>
      <c r="B22" s="4"/>
      <c r="C22" s="4"/>
      <c r="D22" s="4"/>
    </row>
    <row r="23" spans="1:4" ht="19.5" customHeight="1">
      <c r="A23" s="52"/>
      <c r="B23" s="52"/>
      <c r="C23" s="53"/>
      <c r="D23" s="54"/>
    </row>
    <row r="24" spans="1:4" ht="19.5" customHeight="1">
      <c r="A24" s="52"/>
      <c r="B24" s="52"/>
      <c r="C24" s="53"/>
      <c r="D24" s="54"/>
    </row>
    <row r="25" spans="1:4" ht="19.5" customHeight="1">
      <c r="A25" s="52"/>
      <c r="B25" s="52"/>
      <c r="C25" s="53"/>
      <c r="D25" s="54"/>
    </row>
    <row r="26" spans="1:4" ht="19.5" customHeight="1">
      <c r="A26" s="52"/>
      <c r="B26" s="52"/>
      <c r="C26" s="53"/>
      <c r="D26" s="54"/>
    </row>
    <row r="27" spans="1:4" ht="19.5" customHeight="1">
      <c r="A27" s="52"/>
      <c r="B27" s="52"/>
      <c r="C27" s="53"/>
      <c r="D27" s="54"/>
    </row>
    <row r="28" spans="1:4" ht="19.5" customHeight="1">
      <c r="A28" s="52"/>
      <c r="B28" s="52"/>
      <c r="C28" s="53"/>
      <c r="D28" s="54"/>
    </row>
    <row r="29" spans="1:4" ht="19.5" customHeight="1">
      <c r="A29" s="52"/>
      <c r="B29" s="52"/>
      <c r="C29" s="53"/>
      <c r="D29" s="54"/>
    </row>
    <row r="30" spans="1:4" ht="19.5" customHeight="1">
      <c r="A30" s="52"/>
      <c r="B30" s="52"/>
      <c r="C30" s="53"/>
      <c r="D30" s="54"/>
    </row>
    <row r="31" spans="1:4" ht="19.5" customHeight="1">
      <c r="A31" s="52"/>
      <c r="B31" s="52"/>
      <c r="C31" s="53"/>
      <c r="D31" s="54"/>
    </row>
    <row r="32" spans="1:4" ht="19.5" customHeight="1">
      <c r="A32" s="52"/>
      <c r="B32" s="52"/>
      <c r="C32" s="53"/>
      <c r="D32" s="54"/>
    </row>
  </sheetData>
  <mergeCells count="3">
    <mergeCell ref="A1:J1"/>
    <mergeCell ref="A2:J2"/>
    <mergeCell ref="A22:D22"/>
  </mergeCells>
  <phoneticPr fontId="37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559A"/>
  </sheetPr>
  <dimension ref="A1:J10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0" customWidth="1"/>
    <col min="2" max="4" width="16" customWidth="1"/>
    <col min="5" max="5" width="28" customWidth="1"/>
    <col min="6" max="6" width="16" customWidth="1"/>
    <col min="7" max="8" width="14" customWidth="1"/>
    <col min="9" max="9" width="12" customWidth="1"/>
    <col min="10" max="10" width="24" customWidth="1"/>
  </cols>
  <sheetData>
    <row r="1" spans="1:10" ht="24" customHeight="1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8" t="s">
        <v>114</v>
      </c>
      <c r="B2" s="8"/>
      <c r="C2" s="8"/>
      <c r="D2" s="8"/>
      <c r="E2" s="8"/>
      <c r="F2" s="8"/>
      <c r="G2" s="8"/>
      <c r="H2" s="8"/>
      <c r="I2" s="8"/>
      <c r="J2" s="8"/>
    </row>
    <row r="3" spans="1:10" ht="27.75" customHeight="1">
      <c r="A3" s="55" t="s">
        <v>115</v>
      </c>
      <c r="B3" s="55" t="s">
        <v>49</v>
      </c>
      <c r="C3" s="55" t="s">
        <v>50</v>
      </c>
      <c r="D3" s="55" t="s">
        <v>51</v>
      </c>
      <c r="E3" s="55" t="s">
        <v>52</v>
      </c>
      <c r="F3" s="55" t="s">
        <v>116</v>
      </c>
      <c r="G3" s="55" t="s">
        <v>117</v>
      </c>
      <c r="H3" s="55" t="s">
        <v>118</v>
      </c>
      <c r="I3" s="55" t="s">
        <v>119</v>
      </c>
      <c r="J3" s="55" t="s">
        <v>55</v>
      </c>
    </row>
    <row r="4" spans="1:10" ht="19.5" customHeight="1">
      <c r="A4" s="26" t="s">
        <v>120</v>
      </c>
      <c r="B4" s="27" t="s">
        <v>121</v>
      </c>
      <c r="C4" s="27" t="s">
        <v>122</v>
      </c>
      <c r="D4" s="26" t="s">
        <v>123</v>
      </c>
      <c r="E4" s="26" t="s">
        <v>124</v>
      </c>
      <c r="F4" s="27" t="s">
        <v>125</v>
      </c>
      <c r="G4" s="33">
        <v>5000</v>
      </c>
      <c r="H4" s="28">
        <v>46023</v>
      </c>
      <c r="I4" s="27" t="s">
        <v>126</v>
      </c>
      <c r="J4" s="26"/>
    </row>
    <row r="5" spans="1:10" ht="19.5" customHeight="1">
      <c r="A5" s="26" t="s">
        <v>127</v>
      </c>
      <c r="B5" s="27" t="s">
        <v>128</v>
      </c>
      <c r="C5" s="27" t="s">
        <v>129</v>
      </c>
      <c r="D5" s="26" t="s">
        <v>130</v>
      </c>
      <c r="E5" s="26" t="s">
        <v>131</v>
      </c>
      <c r="F5" s="27" t="s">
        <v>132</v>
      </c>
      <c r="G5" s="33">
        <v>10000</v>
      </c>
      <c r="H5" s="28">
        <v>46054</v>
      </c>
      <c r="I5" s="27" t="s">
        <v>133</v>
      </c>
      <c r="J5" s="27" t="s">
        <v>134</v>
      </c>
    </row>
    <row r="6" spans="1:10" ht="19.5" customHeight="1">
      <c r="A6" s="29"/>
      <c r="B6" s="29"/>
      <c r="C6" s="29"/>
      <c r="D6" s="29"/>
      <c r="E6" s="29"/>
      <c r="F6" s="29"/>
      <c r="G6" s="36" t="str">
        <f>IFERROR(VLOOKUP(F6,【会員】③プランマスタ!$A$4:$B$20,2,0),"")</f>
        <v/>
      </c>
      <c r="H6" s="30"/>
      <c r="I6" s="29"/>
      <c r="J6" s="29"/>
    </row>
    <row r="7" spans="1:10" ht="19.5" customHeight="1">
      <c r="A7" s="31"/>
      <c r="B7" s="31"/>
      <c r="C7" s="31"/>
      <c r="D7" s="31"/>
      <c r="E7" s="31"/>
      <c r="F7" s="31"/>
      <c r="G7" s="39" t="str">
        <f>IFERROR(VLOOKUP(F7,【会員】③プランマスタ!$A$4:$B$20,2,0),"")</f>
        <v/>
      </c>
      <c r="H7" s="32"/>
      <c r="I7" s="31"/>
      <c r="J7" s="31"/>
    </row>
    <row r="8" spans="1:10" ht="19.5" customHeight="1">
      <c r="A8" s="29"/>
      <c r="B8" s="29"/>
      <c r="C8" s="29"/>
      <c r="D8" s="29"/>
      <c r="E8" s="29"/>
      <c r="F8" s="29"/>
      <c r="G8" s="36" t="str">
        <f>IFERROR(VLOOKUP(F8,【会員】③プランマスタ!$A$4:$B$20,2,0),"")</f>
        <v/>
      </c>
      <c r="H8" s="30"/>
      <c r="I8" s="29"/>
      <c r="J8" s="29"/>
    </row>
    <row r="9" spans="1:10" ht="19.5" customHeight="1">
      <c r="A9" s="31"/>
      <c r="B9" s="31"/>
      <c r="C9" s="31"/>
      <c r="D9" s="31"/>
      <c r="E9" s="31"/>
      <c r="F9" s="31"/>
      <c r="G9" s="39" t="str">
        <f>IFERROR(VLOOKUP(F9,【会員】③プランマスタ!$A$4:$B$20,2,0),"")</f>
        <v/>
      </c>
      <c r="H9" s="32"/>
      <c r="I9" s="31"/>
      <c r="J9" s="31"/>
    </row>
    <row r="10" spans="1:10" ht="19.5" customHeight="1">
      <c r="A10" s="29"/>
      <c r="B10" s="29"/>
      <c r="C10" s="29"/>
      <c r="D10" s="29"/>
      <c r="E10" s="29"/>
      <c r="F10" s="29"/>
      <c r="G10" s="36" t="str">
        <f>IFERROR(VLOOKUP(F10,【会員】③プランマスタ!$A$4:$B$20,2,0),"")</f>
        <v/>
      </c>
      <c r="H10" s="30"/>
      <c r="I10" s="29"/>
      <c r="J10" s="29"/>
    </row>
    <row r="11" spans="1:10" ht="19.5" customHeight="1">
      <c r="A11" s="31"/>
      <c r="B11" s="31"/>
      <c r="C11" s="31"/>
      <c r="D11" s="31"/>
      <c r="E11" s="31"/>
      <c r="F11" s="31"/>
      <c r="G11" s="39" t="str">
        <f>IFERROR(VLOOKUP(F11,【会員】③プランマスタ!$A$4:$B$20,2,0),"")</f>
        <v/>
      </c>
      <c r="H11" s="32"/>
      <c r="I11" s="31"/>
      <c r="J11" s="31"/>
    </row>
    <row r="12" spans="1:10" ht="19.5" customHeight="1">
      <c r="A12" s="29"/>
      <c r="B12" s="29"/>
      <c r="C12" s="29"/>
      <c r="D12" s="29"/>
      <c r="E12" s="29"/>
      <c r="F12" s="29"/>
      <c r="G12" s="36" t="str">
        <f>IFERROR(VLOOKUP(F12,【会員】③プランマスタ!$A$4:$B$20,2,0),"")</f>
        <v/>
      </c>
      <c r="H12" s="30"/>
      <c r="I12" s="29"/>
      <c r="J12" s="29"/>
    </row>
    <row r="13" spans="1:10" ht="19.5" customHeight="1">
      <c r="A13" s="31"/>
      <c r="B13" s="31"/>
      <c r="C13" s="31"/>
      <c r="D13" s="31"/>
      <c r="E13" s="31"/>
      <c r="F13" s="31"/>
      <c r="G13" s="39" t="str">
        <f>IFERROR(VLOOKUP(F13,【会員】③プランマスタ!$A$4:$B$20,2,0),"")</f>
        <v/>
      </c>
      <c r="H13" s="32"/>
      <c r="I13" s="31"/>
      <c r="J13" s="31"/>
    </row>
    <row r="14" spans="1:10" ht="19.5" customHeight="1">
      <c r="A14" s="29"/>
      <c r="B14" s="29"/>
      <c r="C14" s="29"/>
      <c r="D14" s="29"/>
      <c r="E14" s="29"/>
      <c r="F14" s="29"/>
      <c r="G14" s="36" t="str">
        <f>IFERROR(VLOOKUP(F14,【会員】③プランマスタ!$A$4:$B$20,2,0),"")</f>
        <v/>
      </c>
      <c r="H14" s="30"/>
      <c r="I14" s="29"/>
      <c r="J14" s="29"/>
    </row>
    <row r="15" spans="1:10" ht="19.5" customHeight="1">
      <c r="A15" s="31"/>
      <c r="B15" s="31"/>
      <c r="C15" s="31"/>
      <c r="D15" s="31"/>
      <c r="E15" s="31"/>
      <c r="F15" s="31"/>
      <c r="G15" s="39" t="str">
        <f>IFERROR(VLOOKUP(F15,【会員】③プランマスタ!$A$4:$B$20,2,0),"")</f>
        <v/>
      </c>
      <c r="H15" s="32"/>
      <c r="I15" s="31"/>
      <c r="J15" s="31"/>
    </row>
    <row r="16" spans="1:10" ht="19.5" customHeight="1">
      <c r="A16" s="29"/>
      <c r="B16" s="29"/>
      <c r="C16" s="29"/>
      <c r="D16" s="29"/>
      <c r="E16" s="29"/>
      <c r="F16" s="29"/>
      <c r="G16" s="36" t="str">
        <f>IFERROR(VLOOKUP(F16,【会員】③プランマスタ!$A$4:$B$20,2,0),"")</f>
        <v/>
      </c>
      <c r="H16" s="30"/>
      <c r="I16" s="29"/>
      <c r="J16" s="29"/>
    </row>
    <row r="17" spans="1:10" ht="19.5" customHeight="1">
      <c r="A17" s="31"/>
      <c r="B17" s="31"/>
      <c r="C17" s="31"/>
      <c r="D17" s="31"/>
      <c r="E17" s="31"/>
      <c r="F17" s="31"/>
      <c r="G17" s="39" t="str">
        <f>IFERROR(VLOOKUP(F17,【会員】③プランマスタ!$A$4:$B$20,2,0),"")</f>
        <v/>
      </c>
      <c r="H17" s="32"/>
      <c r="I17" s="31"/>
      <c r="J17" s="31"/>
    </row>
    <row r="18" spans="1:10" ht="19.5" customHeight="1">
      <c r="A18" s="29"/>
      <c r="B18" s="29"/>
      <c r="C18" s="29"/>
      <c r="D18" s="29"/>
      <c r="E18" s="29"/>
      <c r="F18" s="29"/>
      <c r="G18" s="36" t="str">
        <f>IFERROR(VLOOKUP(F18,【会員】③プランマスタ!$A$4:$B$20,2,0),"")</f>
        <v/>
      </c>
      <c r="H18" s="30"/>
      <c r="I18" s="29"/>
      <c r="J18" s="29"/>
    </row>
    <row r="19" spans="1:10" ht="19.5" customHeight="1">
      <c r="A19" s="31"/>
      <c r="B19" s="31"/>
      <c r="C19" s="31"/>
      <c r="D19" s="31"/>
      <c r="E19" s="31"/>
      <c r="F19" s="31"/>
      <c r="G19" s="39" t="str">
        <f>IFERROR(VLOOKUP(F19,【会員】③プランマスタ!$A$4:$B$20,2,0),"")</f>
        <v/>
      </c>
      <c r="H19" s="32"/>
      <c r="I19" s="31"/>
      <c r="J19" s="31"/>
    </row>
    <row r="20" spans="1:10" ht="19.5" customHeight="1">
      <c r="A20" s="29"/>
      <c r="B20" s="29"/>
      <c r="C20" s="29"/>
      <c r="D20" s="29"/>
      <c r="E20" s="29"/>
      <c r="F20" s="29"/>
      <c r="G20" s="36" t="str">
        <f>IFERROR(VLOOKUP(F20,【会員】③プランマスタ!$A$4:$B$20,2,0),"")</f>
        <v/>
      </c>
      <c r="H20" s="30"/>
      <c r="I20" s="29"/>
      <c r="J20" s="29"/>
    </row>
    <row r="21" spans="1:10" ht="19.5" customHeight="1">
      <c r="A21" s="31"/>
      <c r="B21" s="31"/>
      <c r="C21" s="31"/>
      <c r="D21" s="31"/>
      <c r="E21" s="31"/>
      <c r="F21" s="31"/>
      <c r="G21" s="39" t="str">
        <f>IFERROR(VLOOKUP(F21,【会員】③プランマスタ!$A$4:$B$20,2,0),"")</f>
        <v/>
      </c>
      <c r="H21" s="32"/>
      <c r="I21" s="31"/>
      <c r="J21" s="31"/>
    </row>
    <row r="22" spans="1:10" ht="19.5" customHeight="1">
      <c r="A22" s="29"/>
      <c r="B22" s="29"/>
      <c r="C22" s="29"/>
      <c r="D22" s="29"/>
      <c r="E22" s="29"/>
      <c r="F22" s="29"/>
      <c r="G22" s="36" t="str">
        <f>IFERROR(VLOOKUP(F22,【会員】③プランマスタ!$A$4:$B$20,2,0),"")</f>
        <v/>
      </c>
      <c r="H22" s="30"/>
      <c r="I22" s="29"/>
      <c r="J22" s="29"/>
    </row>
    <row r="23" spans="1:10" ht="19.5" customHeight="1">
      <c r="A23" s="31"/>
      <c r="B23" s="31"/>
      <c r="C23" s="31"/>
      <c r="D23" s="31"/>
      <c r="E23" s="31"/>
      <c r="F23" s="31"/>
      <c r="G23" s="39" t="str">
        <f>IFERROR(VLOOKUP(F23,【会員】③プランマスタ!$A$4:$B$20,2,0),"")</f>
        <v/>
      </c>
      <c r="H23" s="32"/>
      <c r="I23" s="31"/>
      <c r="J23" s="31"/>
    </row>
    <row r="24" spans="1:10" ht="19.5" customHeight="1">
      <c r="A24" s="29"/>
      <c r="B24" s="29"/>
      <c r="C24" s="29"/>
      <c r="D24" s="29"/>
      <c r="E24" s="29"/>
      <c r="F24" s="29"/>
      <c r="G24" s="36" t="str">
        <f>IFERROR(VLOOKUP(F24,【会員】③プランマスタ!$A$4:$B$20,2,0),"")</f>
        <v/>
      </c>
      <c r="H24" s="30"/>
      <c r="I24" s="29"/>
      <c r="J24" s="29"/>
    </row>
    <row r="25" spans="1:10" ht="19.5" customHeight="1">
      <c r="A25" s="31"/>
      <c r="B25" s="31"/>
      <c r="C25" s="31"/>
      <c r="D25" s="31"/>
      <c r="E25" s="31"/>
      <c r="F25" s="31"/>
      <c r="G25" s="39" t="str">
        <f>IFERROR(VLOOKUP(F25,【会員】③プランマスタ!$A$4:$B$20,2,0),"")</f>
        <v/>
      </c>
      <c r="H25" s="32"/>
      <c r="I25" s="31"/>
      <c r="J25" s="31"/>
    </row>
    <row r="26" spans="1:10" ht="19.5" customHeight="1">
      <c r="A26" s="29"/>
      <c r="B26" s="29"/>
      <c r="C26" s="29"/>
      <c r="D26" s="29"/>
      <c r="E26" s="29"/>
      <c r="F26" s="29"/>
      <c r="G26" s="36" t="str">
        <f>IFERROR(VLOOKUP(F26,【会員】③プランマスタ!$A$4:$B$20,2,0),"")</f>
        <v/>
      </c>
      <c r="H26" s="30"/>
      <c r="I26" s="29"/>
      <c r="J26" s="29"/>
    </row>
    <row r="27" spans="1:10" ht="19.5" customHeight="1">
      <c r="A27" s="31"/>
      <c r="B27" s="31"/>
      <c r="C27" s="31"/>
      <c r="D27" s="31"/>
      <c r="E27" s="31"/>
      <c r="F27" s="31"/>
      <c r="G27" s="39" t="str">
        <f>IFERROR(VLOOKUP(F27,【会員】③プランマスタ!$A$4:$B$20,2,0),"")</f>
        <v/>
      </c>
      <c r="H27" s="32"/>
      <c r="I27" s="31"/>
      <c r="J27" s="31"/>
    </row>
    <row r="28" spans="1:10" ht="19.5" customHeight="1">
      <c r="A28" s="29"/>
      <c r="B28" s="29"/>
      <c r="C28" s="29"/>
      <c r="D28" s="29"/>
      <c r="E28" s="29"/>
      <c r="F28" s="29"/>
      <c r="G28" s="36" t="str">
        <f>IFERROR(VLOOKUP(F28,【会員】③プランマスタ!$A$4:$B$20,2,0),"")</f>
        <v/>
      </c>
      <c r="H28" s="30"/>
      <c r="I28" s="29"/>
      <c r="J28" s="29"/>
    </row>
    <row r="29" spans="1:10" ht="19.5" customHeight="1">
      <c r="A29" s="31"/>
      <c r="B29" s="31"/>
      <c r="C29" s="31"/>
      <c r="D29" s="31"/>
      <c r="E29" s="31"/>
      <c r="F29" s="31"/>
      <c r="G29" s="39" t="str">
        <f>IFERROR(VLOOKUP(F29,【会員】③プランマスタ!$A$4:$B$20,2,0),"")</f>
        <v/>
      </c>
      <c r="H29" s="32"/>
      <c r="I29" s="31"/>
      <c r="J29" s="31"/>
    </row>
    <row r="30" spans="1:10" ht="19.5" customHeight="1">
      <c r="A30" s="29"/>
      <c r="B30" s="29"/>
      <c r="C30" s="29"/>
      <c r="D30" s="29"/>
      <c r="E30" s="29"/>
      <c r="F30" s="29"/>
      <c r="G30" s="36" t="str">
        <f>IFERROR(VLOOKUP(F30,【会員】③プランマスタ!$A$4:$B$20,2,0),"")</f>
        <v/>
      </c>
      <c r="H30" s="30"/>
      <c r="I30" s="29"/>
      <c r="J30" s="29"/>
    </row>
    <row r="31" spans="1:10" ht="19.5" customHeight="1">
      <c r="A31" s="31"/>
      <c r="B31" s="31"/>
      <c r="C31" s="31"/>
      <c r="D31" s="31"/>
      <c r="E31" s="31"/>
      <c r="F31" s="31"/>
      <c r="G31" s="39" t="str">
        <f>IFERROR(VLOOKUP(F31,【会員】③プランマスタ!$A$4:$B$20,2,0),"")</f>
        <v/>
      </c>
      <c r="H31" s="32"/>
      <c r="I31" s="31"/>
      <c r="J31" s="31"/>
    </row>
    <row r="32" spans="1:10" ht="19.5" customHeight="1">
      <c r="A32" s="29"/>
      <c r="B32" s="29"/>
      <c r="C32" s="29"/>
      <c r="D32" s="29"/>
      <c r="E32" s="29"/>
      <c r="F32" s="29"/>
      <c r="G32" s="36" t="str">
        <f>IFERROR(VLOOKUP(F32,【会員】③プランマスタ!$A$4:$B$20,2,0),"")</f>
        <v/>
      </c>
      <c r="H32" s="30"/>
      <c r="I32" s="29"/>
      <c r="J32" s="29"/>
    </row>
    <row r="33" spans="1:10" ht="19.5" customHeight="1">
      <c r="A33" s="31"/>
      <c r="B33" s="31"/>
      <c r="C33" s="31"/>
      <c r="D33" s="31"/>
      <c r="E33" s="31"/>
      <c r="F33" s="31"/>
      <c r="G33" s="39" t="str">
        <f>IFERROR(VLOOKUP(F33,【会員】③プランマスタ!$A$4:$B$20,2,0),"")</f>
        <v/>
      </c>
      <c r="H33" s="32"/>
      <c r="I33" s="31"/>
      <c r="J33" s="31"/>
    </row>
    <row r="34" spans="1:10" ht="19.5" customHeight="1">
      <c r="A34" s="29"/>
      <c r="B34" s="29"/>
      <c r="C34" s="29"/>
      <c r="D34" s="29"/>
      <c r="E34" s="29"/>
      <c r="F34" s="29"/>
      <c r="G34" s="36" t="str">
        <f>IFERROR(VLOOKUP(F34,【会員】③プランマスタ!$A$4:$B$20,2,0),"")</f>
        <v/>
      </c>
      <c r="H34" s="30"/>
      <c r="I34" s="29"/>
      <c r="J34" s="29"/>
    </row>
    <row r="35" spans="1:10" ht="19.5" customHeight="1">
      <c r="A35" s="31"/>
      <c r="B35" s="31"/>
      <c r="C35" s="31"/>
      <c r="D35" s="31"/>
      <c r="E35" s="31"/>
      <c r="F35" s="31"/>
      <c r="G35" s="39" t="str">
        <f>IFERROR(VLOOKUP(F35,【会員】③プランマスタ!$A$4:$B$20,2,0),"")</f>
        <v/>
      </c>
      <c r="H35" s="32"/>
      <c r="I35" s="31"/>
      <c r="J35" s="31"/>
    </row>
    <row r="36" spans="1:10" ht="19.5" customHeight="1">
      <c r="A36" s="29"/>
      <c r="B36" s="29"/>
      <c r="C36" s="29"/>
      <c r="D36" s="29"/>
      <c r="E36" s="29"/>
      <c r="F36" s="29"/>
      <c r="G36" s="36" t="str">
        <f>IFERROR(VLOOKUP(F36,【会員】③プランマスタ!$A$4:$B$20,2,0),"")</f>
        <v/>
      </c>
      <c r="H36" s="30"/>
      <c r="I36" s="29"/>
      <c r="J36" s="29"/>
    </row>
    <row r="37" spans="1:10" ht="19.5" customHeight="1">
      <c r="A37" s="31"/>
      <c r="B37" s="31"/>
      <c r="C37" s="31"/>
      <c r="D37" s="31"/>
      <c r="E37" s="31"/>
      <c r="F37" s="31"/>
      <c r="G37" s="39" t="str">
        <f>IFERROR(VLOOKUP(F37,【会員】③プランマスタ!$A$4:$B$20,2,0),"")</f>
        <v/>
      </c>
      <c r="H37" s="32"/>
      <c r="I37" s="31"/>
      <c r="J37" s="31"/>
    </row>
    <row r="38" spans="1:10" ht="19.5" customHeight="1">
      <c r="A38" s="29"/>
      <c r="B38" s="29"/>
      <c r="C38" s="29"/>
      <c r="D38" s="29"/>
      <c r="E38" s="29"/>
      <c r="F38" s="29"/>
      <c r="G38" s="36" t="str">
        <f>IFERROR(VLOOKUP(F38,【会員】③プランマスタ!$A$4:$B$20,2,0),"")</f>
        <v/>
      </c>
      <c r="H38" s="30"/>
      <c r="I38" s="29"/>
      <c r="J38" s="29"/>
    </row>
    <row r="39" spans="1:10" ht="19.5" customHeight="1">
      <c r="A39" s="31"/>
      <c r="B39" s="31"/>
      <c r="C39" s="31"/>
      <c r="D39" s="31"/>
      <c r="E39" s="31"/>
      <c r="F39" s="31"/>
      <c r="G39" s="39" t="str">
        <f>IFERROR(VLOOKUP(F39,【会員】③プランマスタ!$A$4:$B$20,2,0),"")</f>
        <v/>
      </c>
      <c r="H39" s="32"/>
      <c r="I39" s="31"/>
      <c r="J39" s="31"/>
    </row>
    <row r="40" spans="1:10" ht="19.5" customHeight="1">
      <c r="A40" s="29"/>
      <c r="B40" s="29"/>
      <c r="C40" s="29"/>
      <c r="D40" s="29"/>
      <c r="E40" s="29"/>
      <c r="F40" s="29"/>
      <c r="G40" s="36" t="str">
        <f>IFERROR(VLOOKUP(F40,【会員】③プランマスタ!$A$4:$B$20,2,0),"")</f>
        <v/>
      </c>
      <c r="H40" s="30"/>
      <c r="I40" s="29"/>
      <c r="J40" s="29"/>
    </row>
    <row r="41" spans="1:10" ht="19.5" customHeight="1">
      <c r="A41" s="31"/>
      <c r="B41" s="31"/>
      <c r="C41" s="31"/>
      <c r="D41" s="31"/>
      <c r="E41" s="31"/>
      <c r="F41" s="31"/>
      <c r="G41" s="39" t="str">
        <f>IFERROR(VLOOKUP(F41,【会員】③プランマスタ!$A$4:$B$20,2,0),"")</f>
        <v/>
      </c>
      <c r="H41" s="32"/>
      <c r="I41" s="31"/>
      <c r="J41" s="31"/>
    </row>
    <row r="42" spans="1:10" ht="19.5" customHeight="1">
      <c r="A42" s="29"/>
      <c r="B42" s="29"/>
      <c r="C42" s="29"/>
      <c r="D42" s="29"/>
      <c r="E42" s="29"/>
      <c r="F42" s="29"/>
      <c r="G42" s="36" t="str">
        <f>IFERROR(VLOOKUP(F42,【会員】③プランマスタ!$A$4:$B$20,2,0),"")</f>
        <v/>
      </c>
      <c r="H42" s="30"/>
      <c r="I42" s="29"/>
      <c r="J42" s="29"/>
    </row>
    <row r="43" spans="1:10" ht="19.5" customHeight="1">
      <c r="A43" s="31"/>
      <c r="B43" s="31"/>
      <c r="C43" s="31"/>
      <c r="D43" s="31"/>
      <c r="E43" s="31"/>
      <c r="F43" s="31"/>
      <c r="G43" s="39" t="str">
        <f>IFERROR(VLOOKUP(F43,【会員】③プランマスタ!$A$4:$B$20,2,0),"")</f>
        <v/>
      </c>
      <c r="H43" s="32"/>
      <c r="I43" s="31"/>
      <c r="J43" s="31"/>
    </row>
    <row r="44" spans="1:10" ht="19.5" customHeight="1">
      <c r="A44" s="29"/>
      <c r="B44" s="29"/>
      <c r="C44" s="29"/>
      <c r="D44" s="29"/>
      <c r="E44" s="29"/>
      <c r="F44" s="29"/>
      <c r="G44" s="36" t="str">
        <f>IFERROR(VLOOKUP(F44,【会員】③プランマスタ!$A$4:$B$20,2,0),"")</f>
        <v/>
      </c>
      <c r="H44" s="30"/>
      <c r="I44" s="29"/>
      <c r="J44" s="29"/>
    </row>
    <row r="45" spans="1:10" ht="19.5" customHeight="1">
      <c r="A45" s="31"/>
      <c r="B45" s="31"/>
      <c r="C45" s="31"/>
      <c r="D45" s="31"/>
      <c r="E45" s="31"/>
      <c r="F45" s="31"/>
      <c r="G45" s="39" t="str">
        <f>IFERROR(VLOOKUP(F45,【会員】③プランマスタ!$A$4:$B$20,2,0),"")</f>
        <v/>
      </c>
      <c r="H45" s="32"/>
      <c r="I45" s="31"/>
      <c r="J45" s="31"/>
    </row>
    <row r="46" spans="1:10" ht="19.5" customHeight="1">
      <c r="A46" s="29"/>
      <c r="B46" s="29"/>
      <c r="C46" s="29"/>
      <c r="D46" s="29"/>
      <c r="E46" s="29"/>
      <c r="F46" s="29"/>
      <c r="G46" s="36" t="str">
        <f>IFERROR(VLOOKUP(F46,【会員】③プランマスタ!$A$4:$B$20,2,0),"")</f>
        <v/>
      </c>
      <c r="H46" s="30"/>
      <c r="I46" s="29"/>
      <c r="J46" s="29"/>
    </row>
    <row r="47" spans="1:10" ht="19.5" customHeight="1">
      <c r="A47" s="31"/>
      <c r="B47" s="31"/>
      <c r="C47" s="31"/>
      <c r="D47" s="31"/>
      <c r="E47" s="31"/>
      <c r="F47" s="31"/>
      <c r="G47" s="39" t="str">
        <f>IFERROR(VLOOKUP(F47,【会員】③プランマスタ!$A$4:$B$20,2,0),"")</f>
        <v/>
      </c>
      <c r="H47" s="32"/>
      <c r="I47" s="31"/>
      <c r="J47" s="31"/>
    </row>
    <row r="48" spans="1:10" ht="19.5" customHeight="1">
      <c r="A48" s="29"/>
      <c r="B48" s="29"/>
      <c r="C48" s="29"/>
      <c r="D48" s="29"/>
      <c r="E48" s="29"/>
      <c r="F48" s="29"/>
      <c r="G48" s="36" t="str">
        <f>IFERROR(VLOOKUP(F48,【会員】③プランマスタ!$A$4:$B$20,2,0),"")</f>
        <v/>
      </c>
      <c r="H48" s="30"/>
      <c r="I48" s="29"/>
      <c r="J48" s="29"/>
    </row>
    <row r="49" spans="1:10" ht="19.5" customHeight="1">
      <c r="A49" s="31"/>
      <c r="B49" s="31"/>
      <c r="C49" s="31"/>
      <c r="D49" s="31"/>
      <c r="E49" s="31"/>
      <c r="F49" s="31"/>
      <c r="G49" s="39" t="str">
        <f>IFERROR(VLOOKUP(F49,【会員】③プランマスタ!$A$4:$B$20,2,0),"")</f>
        <v/>
      </c>
      <c r="H49" s="32"/>
      <c r="I49" s="31"/>
      <c r="J49" s="31"/>
    </row>
    <row r="50" spans="1:10" ht="19.5" customHeight="1">
      <c r="A50" s="29"/>
      <c r="B50" s="29"/>
      <c r="C50" s="29"/>
      <c r="D50" s="29"/>
      <c r="E50" s="29"/>
      <c r="F50" s="29"/>
      <c r="G50" s="36" t="str">
        <f>IFERROR(VLOOKUP(F50,【会員】③プランマスタ!$A$4:$B$20,2,0),"")</f>
        <v/>
      </c>
      <c r="H50" s="30"/>
      <c r="I50" s="29"/>
      <c r="J50" s="29"/>
    </row>
    <row r="51" spans="1:10" ht="19.5" customHeight="1">
      <c r="A51" s="31"/>
      <c r="B51" s="31"/>
      <c r="C51" s="31"/>
      <c r="D51" s="31"/>
      <c r="E51" s="31"/>
      <c r="F51" s="31"/>
      <c r="G51" s="39" t="str">
        <f>IFERROR(VLOOKUP(F51,【会員】③プランマスタ!$A$4:$B$20,2,0),"")</f>
        <v/>
      </c>
      <c r="H51" s="32"/>
      <c r="I51" s="31"/>
      <c r="J51" s="31"/>
    </row>
    <row r="52" spans="1:10" ht="19.5" customHeight="1">
      <c r="A52" s="29"/>
      <c r="B52" s="29"/>
      <c r="C52" s="29"/>
      <c r="D52" s="29"/>
      <c r="E52" s="29"/>
      <c r="F52" s="29"/>
      <c r="G52" s="36" t="str">
        <f>IFERROR(VLOOKUP(F52,【会員】③プランマスタ!$A$4:$B$20,2,0),"")</f>
        <v/>
      </c>
      <c r="H52" s="30"/>
      <c r="I52" s="29"/>
      <c r="J52" s="29"/>
    </row>
    <row r="53" spans="1:10" ht="19.5" customHeight="1">
      <c r="A53" s="31"/>
      <c r="B53" s="31"/>
      <c r="C53" s="31"/>
      <c r="D53" s="31"/>
      <c r="E53" s="31"/>
      <c r="F53" s="31"/>
      <c r="G53" s="39" t="str">
        <f>IFERROR(VLOOKUP(F53,【会員】③プランマスタ!$A$4:$B$20,2,0),"")</f>
        <v/>
      </c>
      <c r="H53" s="32"/>
      <c r="I53" s="31"/>
      <c r="J53" s="31"/>
    </row>
    <row r="54" spans="1:10" ht="19.5" customHeight="1">
      <c r="A54" s="29"/>
      <c r="B54" s="29"/>
      <c r="C54" s="29"/>
      <c r="D54" s="29"/>
      <c r="E54" s="29"/>
      <c r="F54" s="29"/>
      <c r="G54" s="36" t="str">
        <f>IFERROR(VLOOKUP(F54,【会員】③プランマスタ!$A$4:$B$20,2,0),"")</f>
        <v/>
      </c>
      <c r="H54" s="30"/>
      <c r="I54" s="29"/>
      <c r="J54" s="29"/>
    </row>
    <row r="55" spans="1:10" ht="19.5" customHeight="1">
      <c r="A55" s="31"/>
      <c r="B55" s="31"/>
      <c r="C55" s="31"/>
      <c r="D55" s="31"/>
      <c r="E55" s="31"/>
      <c r="F55" s="31"/>
      <c r="G55" s="39" t="str">
        <f>IFERROR(VLOOKUP(F55,【会員】③プランマスタ!$A$4:$B$20,2,0),"")</f>
        <v/>
      </c>
      <c r="H55" s="32"/>
      <c r="I55" s="31"/>
      <c r="J55" s="31"/>
    </row>
    <row r="56" spans="1:10" ht="19.5" customHeight="1">
      <c r="A56" s="29"/>
      <c r="B56" s="29"/>
      <c r="C56" s="29"/>
      <c r="D56" s="29"/>
      <c r="E56" s="29"/>
      <c r="F56" s="29"/>
      <c r="G56" s="36" t="str">
        <f>IFERROR(VLOOKUP(F56,【会員】③プランマスタ!$A$4:$B$20,2,0),"")</f>
        <v/>
      </c>
      <c r="H56" s="30"/>
      <c r="I56" s="29"/>
      <c r="J56" s="29"/>
    </row>
    <row r="57" spans="1:10" ht="19.5" customHeight="1">
      <c r="A57" s="31"/>
      <c r="B57" s="31"/>
      <c r="C57" s="31"/>
      <c r="D57" s="31"/>
      <c r="E57" s="31"/>
      <c r="F57" s="31"/>
      <c r="G57" s="39" t="str">
        <f>IFERROR(VLOOKUP(F57,【会員】③プランマスタ!$A$4:$B$20,2,0),"")</f>
        <v/>
      </c>
      <c r="H57" s="32"/>
      <c r="I57" s="31"/>
      <c r="J57" s="31"/>
    </row>
    <row r="58" spans="1:10" ht="19.5" customHeight="1">
      <c r="A58" s="29"/>
      <c r="B58" s="29"/>
      <c r="C58" s="29"/>
      <c r="D58" s="29"/>
      <c r="E58" s="29"/>
      <c r="F58" s="29"/>
      <c r="G58" s="36" t="str">
        <f>IFERROR(VLOOKUP(F58,【会員】③プランマスタ!$A$4:$B$20,2,0),"")</f>
        <v/>
      </c>
      <c r="H58" s="30"/>
      <c r="I58" s="29"/>
      <c r="J58" s="29"/>
    </row>
    <row r="59" spans="1:10" ht="19.5" customHeight="1">
      <c r="A59" s="31"/>
      <c r="B59" s="31"/>
      <c r="C59" s="31"/>
      <c r="D59" s="31"/>
      <c r="E59" s="31"/>
      <c r="F59" s="31"/>
      <c r="G59" s="39" t="str">
        <f>IFERROR(VLOOKUP(F59,【会員】③プランマスタ!$A$4:$B$20,2,0),"")</f>
        <v/>
      </c>
      <c r="H59" s="32"/>
      <c r="I59" s="31"/>
      <c r="J59" s="31"/>
    </row>
    <row r="60" spans="1:10" ht="19.5" customHeight="1">
      <c r="A60" s="29"/>
      <c r="B60" s="29"/>
      <c r="C60" s="29"/>
      <c r="D60" s="29"/>
      <c r="E60" s="29"/>
      <c r="F60" s="29"/>
      <c r="G60" s="36" t="str">
        <f>IFERROR(VLOOKUP(F60,【会員】③プランマスタ!$A$4:$B$20,2,0),"")</f>
        <v/>
      </c>
      <c r="H60" s="30"/>
      <c r="I60" s="29"/>
      <c r="J60" s="29"/>
    </row>
    <row r="61" spans="1:10" ht="19.5" customHeight="1">
      <c r="A61" s="31"/>
      <c r="B61" s="31"/>
      <c r="C61" s="31"/>
      <c r="D61" s="31"/>
      <c r="E61" s="31"/>
      <c r="F61" s="31"/>
      <c r="G61" s="39" t="str">
        <f>IFERROR(VLOOKUP(F61,【会員】③プランマスタ!$A$4:$B$20,2,0),"")</f>
        <v/>
      </c>
      <c r="H61" s="32"/>
      <c r="I61" s="31"/>
      <c r="J61" s="31"/>
    </row>
    <row r="62" spans="1:10" ht="19.5" customHeight="1">
      <c r="A62" s="29"/>
      <c r="B62" s="29"/>
      <c r="C62" s="29"/>
      <c r="D62" s="29"/>
      <c r="E62" s="29"/>
      <c r="F62" s="29"/>
      <c r="G62" s="36" t="str">
        <f>IFERROR(VLOOKUP(F62,【会員】③プランマスタ!$A$4:$B$20,2,0),"")</f>
        <v/>
      </c>
      <c r="H62" s="30"/>
      <c r="I62" s="29"/>
      <c r="J62" s="29"/>
    </row>
    <row r="63" spans="1:10" ht="19.5" customHeight="1">
      <c r="A63" s="31"/>
      <c r="B63" s="31"/>
      <c r="C63" s="31"/>
      <c r="D63" s="31"/>
      <c r="E63" s="31"/>
      <c r="F63" s="31"/>
      <c r="G63" s="39" t="str">
        <f>IFERROR(VLOOKUP(F63,【会員】③プランマスタ!$A$4:$B$20,2,0),"")</f>
        <v/>
      </c>
      <c r="H63" s="32"/>
      <c r="I63" s="31"/>
      <c r="J63" s="31"/>
    </row>
    <row r="64" spans="1:10" ht="19.5" customHeight="1">
      <c r="A64" s="29"/>
      <c r="B64" s="29"/>
      <c r="C64" s="29"/>
      <c r="D64" s="29"/>
      <c r="E64" s="29"/>
      <c r="F64" s="29"/>
      <c r="G64" s="36" t="str">
        <f>IFERROR(VLOOKUP(F64,【会員】③プランマスタ!$A$4:$B$20,2,0),"")</f>
        <v/>
      </c>
      <c r="H64" s="30"/>
      <c r="I64" s="29"/>
      <c r="J64" s="29"/>
    </row>
    <row r="65" spans="1:10" ht="19.5" customHeight="1">
      <c r="A65" s="31"/>
      <c r="B65" s="31"/>
      <c r="C65" s="31"/>
      <c r="D65" s="31"/>
      <c r="E65" s="31"/>
      <c r="F65" s="31"/>
      <c r="G65" s="39" t="str">
        <f>IFERROR(VLOOKUP(F65,【会員】③プランマスタ!$A$4:$B$20,2,0),"")</f>
        <v/>
      </c>
      <c r="H65" s="32"/>
      <c r="I65" s="31"/>
      <c r="J65" s="31"/>
    </row>
    <row r="66" spans="1:10" ht="19.5" customHeight="1">
      <c r="A66" s="29"/>
      <c r="B66" s="29"/>
      <c r="C66" s="29"/>
      <c r="D66" s="29"/>
      <c r="E66" s="29"/>
      <c r="F66" s="29"/>
      <c r="G66" s="36" t="str">
        <f>IFERROR(VLOOKUP(F66,【会員】③プランマスタ!$A$4:$B$20,2,0),"")</f>
        <v/>
      </c>
      <c r="H66" s="30"/>
      <c r="I66" s="29"/>
      <c r="J66" s="29"/>
    </row>
    <row r="67" spans="1:10" ht="19.5" customHeight="1">
      <c r="A67" s="31"/>
      <c r="B67" s="31"/>
      <c r="C67" s="31"/>
      <c r="D67" s="31"/>
      <c r="E67" s="31"/>
      <c r="F67" s="31"/>
      <c r="G67" s="39" t="str">
        <f>IFERROR(VLOOKUP(F67,【会員】③プランマスタ!$A$4:$B$20,2,0),"")</f>
        <v/>
      </c>
      <c r="H67" s="32"/>
      <c r="I67" s="31"/>
      <c r="J67" s="31"/>
    </row>
    <row r="68" spans="1:10" ht="19.5" customHeight="1">
      <c r="A68" s="29"/>
      <c r="B68" s="29"/>
      <c r="C68" s="29"/>
      <c r="D68" s="29"/>
      <c r="E68" s="29"/>
      <c r="F68" s="29"/>
      <c r="G68" s="36" t="str">
        <f>IFERROR(VLOOKUP(F68,【会員】③プランマスタ!$A$4:$B$20,2,0),"")</f>
        <v/>
      </c>
      <c r="H68" s="30"/>
      <c r="I68" s="29"/>
      <c r="J68" s="29"/>
    </row>
    <row r="69" spans="1:10" ht="19.5" customHeight="1">
      <c r="A69" s="31"/>
      <c r="B69" s="31"/>
      <c r="C69" s="31"/>
      <c r="D69" s="31"/>
      <c r="E69" s="31"/>
      <c r="F69" s="31"/>
      <c r="G69" s="39" t="str">
        <f>IFERROR(VLOOKUP(F69,【会員】③プランマスタ!$A$4:$B$20,2,0),"")</f>
        <v/>
      </c>
      <c r="H69" s="32"/>
      <c r="I69" s="31"/>
      <c r="J69" s="31"/>
    </row>
    <row r="70" spans="1:10" ht="19.5" customHeight="1">
      <c r="A70" s="29"/>
      <c r="B70" s="29"/>
      <c r="C70" s="29"/>
      <c r="D70" s="29"/>
      <c r="E70" s="29"/>
      <c r="F70" s="29"/>
      <c r="G70" s="36" t="str">
        <f>IFERROR(VLOOKUP(F70,【会員】③プランマスタ!$A$4:$B$20,2,0),"")</f>
        <v/>
      </c>
      <c r="H70" s="30"/>
      <c r="I70" s="29"/>
      <c r="J70" s="29"/>
    </row>
    <row r="71" spans="1:10" ht="19.5" customHeight="1">
      <c r="A71" s="31"/>
      <c r="B71" s="31"/>
      <c r="C71" s="31"/>
      <c r="D71" s="31"/>
      <c r="E71" s="31"/>
      <c r="F71" s="31"/>
      <c r="G71" s="39" t="str">
        <f>IFERROR(VLOOKUP(F71,【会員】③プランマスタ!$A$4:$B$20,2,0),"")</f>
        <v/>
      </c>
      <c r="H71" s="32"/>
      <c r="I71" s="31"/>
      <c r="J71" s="31"/>
    </row>
    <row r="72" spans="1:10" ht="19.5" customHeight="1">
      <c r="A72" s="29"/>
      <c r="B72" s="29"/>
      <c r="C72" s="29"/>
      <c r="D72" s="29"/>
      <c r="E72" s="29"/>
      <c r="F72" s="29"/>
      <c r="G72" s="36" t="str">
        <f>IFERROR(VLOOKUP(F72,【会員】③プランマスタ!$A$4:$B$20,2,0),"")</f>
        <v/>
      </c>
      <c r="H72" s="30"/>
      <c r="I72" s="29"/>
      <c r="J72" s="29"/>
    </row>
    <row r="73" spans="1:10" ht="19.5" customHeight="1">
      <c r="A73" s="31"/>
      <c r="B73" s="31"/>
      <c r="C73" s="31"/>
      <c r="D73" s="31"/>
      <c r="E73" s="31"/>
      <c r="F73" s="31"/>
      <c r="G73" s="39" t="str">
        <f>IFERROR(VLOOKUP(F73,【会員】③プランマスタ!$A$4:$B$20,2,0),"")</f>
        <v/>
      </c>
      <c r="H73" s="32"/>
      <c r="I73" s="31"/>
      <c r="J73" s="31"/>
    </row>
    <row r="74" spans="1:10" ht="19.5" customHeight="1">
      <c r="A74" s="29"/>
      <c r="B74" s="29"/>
      <c r="C74" s="29"/>
      <c r="D74" s="29"/>
      <c r="E74" s="29"/>
      <c r="F74" s="29"/>
      <c r="G74" s="36" t="str">
        <f>IFERROR(VLOOKUP(F74,【会員】③プランマスタ!$A$4:$B$20,2,0),"")</f>
        <v/>
      </c>
      <c r="H74" s="30"/>
      <c r="I74" s="29"/>
      <c r="J74" s="29"/>
    </row>
    <row r="75" spans="1:10" ht="19.5" customHeight="1">
      <c r="A75" s="31"/>
      <c r="B75" s="31"/>
      <c r="C75" s="31"/>
      <c r="D75" s="31"/>
      <c r="E75" s="31"/>
      <c r="F75" s="31"/>
      <c r="G75" s="39" t="str">
        <f>IFERROR(VLOOKUP(F75,【会員】③プランマスタ!$A$4:$B$20,2,0),"")</f>
        <v/>
      </c>
      <c r="H75" s="32"/>
      <c r="I75" s="31"/>
      <c r="J75" s="31"/>
    </row>
    <row r="76" spans="1:10" ht="19.5" customHeight="1">
      <c r="A76" s="29"/>
      <c r="B76" s="29"/>
      <c r="C76" s="29"/>
      <c r="D76" s="29"/>
      <c r="E76" s="29"/>
      <c r="F76" s="29"/>
      <c r="G76" s="36" t="str">
        <f>IFERROR(VLOOKUP(F76,【会員】③プランマスタ!$A$4:$B$20,2,0),"")</f>
        <v/>
      </c>
      <c r="H76" s="30"/>
      <c r="I76" s="29"/>
      <c r="J76" s="29"/>
    </row>
    <row r="77" spans="1:10" ht="19.5" customHeight="1">
      <c r="A77" s="31"/>
      <c r="B77" s="31"/>
      <c r="C77" s="31"/>
      <c r="D77" s="31"/>
      <c r="E77" s="31"/>
      <c r="F77" s="31"/>
      <c r="G77" s="39" t="str">
        <f>IFERROR(VLOOKUP(F77,【会員】③プランマスタ!$A$4:$B$20,2,0),"")</f>
        <v/>
      </c>
      <c r="H77" s="32"/>
      <c r="I77" s="31"/>
      <c r="J77" s="31"/>
    </row>
    <row r="78" spans="1:10" ht="19.5" customHeight="1">
      <c r="A78" s="29"/>
      <c r="B78" s="29"/>
      <c r="C78" s="29"/>
      <c r="D78" s="29"/>
      <c r="E78" s="29"/>
      <c r="F78" s="29"/>
      <c r="G78" s="36" t="str">
        <f>IFERROR(VLOOKUP(F78,【会員】③プランマスタ!$A$4:$B$20,2,0),"")</f>
        <v/>
      </c>
      <c r="H78" s="30"/>
      <c r="I78" s="29"/>
      <c r="J78" s="29"/>
    </row>
    <row r="79" spans="1:10" ht="19.5" customHeight="1">
      <c r="A79" s="31"/>
      <c r="B79" s="31"/>
      <c r="C79" s="31"/>
      <c r="D79" s="31"/>
      <c r="E79" s="31"/>
      <c r="F79" s="31"/>
      <c r="G79" s="39" t="str">
        <f>IFERROR(VLOOKUP(F79,【会員】③プランマスタ!$A$4:$B$20,2,0),"")</f>
        <v/>
      </c>
      <c r="H79" s="32"/>
      <c r="I79" s="31"/>
      <c r="J79" s="31"/>
    </row>
    <row r="80" spans="1:10" ht="19.5" customHeight="1">
      <c r="A80" s="29"/>
      <c r="B80" s="29"/>
      <c r="C80" s="29"/>
      <c r="D80" s="29"/>
      <c r="E80" s="29"/>
      <c r="F80" s="29"/>
      <c r="G80" s="36" t="str">
        <f>IFERROR(VLOOKUP(F80,【会員】③プランマスタ!$A$4:$B$20,2,0),"")</f>
        <v/>
      </c>
      <c r="H80" s="30"/>
      <c r="I80" s="29"/>
      <c r="J80" s="29"/>
    </row>
    <row r="81" spans="1:10" ht="19.5" customHeight="1">
      <c r="A81" s="31"/>
      <c r="B81" s="31"/>
      <c r="C81" s="31"/>
      <c r="D81" s="31"/>
      <c r="E81" s="31"/>
      <c r="F81" s="31"/>
      <c r="G81" s="39" t="str">
        <f>IFERROR(VLOOKUP(F81,【会員】③プランマスタ!$A$4:$B$20,2,0),"")</f>
        <v/>
      </c>
      <c r="H81" s="32"/>
      <c r="I81" s="31"/>
      <c r="J81" s="31"/>
    </row>
    <row r="82" spans="1:10" ht="19.5" customHeight="1">
      <c r="A82" s="29"/>
      <c r="B82" s="29"/>
      <c r="C82" s="29"/>
      <c r="D82" s="29"/>
      <c r="E82" s="29"/>
      <c r="F82" s="29"/>
      <c r="G82" s="36" t="str">
        <f>IFERROR(VLOOKUP(F82,【会員】③プランマスタ!$A$4:$B$20,2,0),"")</f>
        <v/>
      </c>
      <c r="H82" s="30"/>
      <c r="I82" s="29"/>
      <c r="J82" s="29"/>
    </row>
    <row r="83" spans="1:10" ht="19.5" customHeight="1">
      <c r="A83" s="31"/>
      <c r="B83" s="31"/>
      <c r="C83" s="31"/>
      <c r="D83" s="31"/>
      <c r="E83" s="31"/>
      <c r="F83" s="31"/>
      <c r="G83" s="39" t="str">
        <f>IFERROR(VLOOKUP(F83,【会員】③プランマスタ!$A$4:$B$20,2,0),"")</f>
        <v/>
      </c>
      <c r="H83" s="32"/>
      <c r="I83" s="31"/>
      <c r="J83" s="31"/>
    </row>
    <row r="84" spans="1:10" ht="19.5" customHeight="1">
      <c r="A84" s="29"/>
      <c r="B84" s="29"/>
      <c r="C84" s="29"/>
      <c r="D84" s="29"/>
      <c r="E84" s="29"/>
      <c r="F84" s="29"/>
      <c r="G84" s="36" t="str">
        <f>IFERROR(VLOOKUP(F84,【会員】③プランマスタ!$A$4:$B$20,2,0),"")</f>
        <v/>
      </c>
      <c r="H84" s="30"/>
      <c r="I84" s="29"/>
      <c r="J84" s="29"/>
    </row>
    <row r="85" spans="1:10" ht="19.5" customHeight="1">
      <c r="A85" s="31"/>
      <c r="B85" s="31"/>
      <c r="C85" s="31"/>
      <c r="D85" s="31"/>
      <c r="E85" s="31"/>
      <c r="F85" s="31"/>
      <c r="G85" s="39" t="str">
        <f>IFERROR(VLOOKUP(F85,【会員】③プランマスタ!$A$4:$B$20,2,0),"")</f>
        <v/>
      </c>
      <c r="H85" s="32"/>
      <c r="I85" s="31"/>
      <c r="J85" s="31"/>
    </row>
    <row r="86" spans="1:10" ht="19.5" customHeight="1">
      <c r="A86" s="29"/>
      <c r="B86" s="29"/>
      <c r="C86" s="29"/>
      <c r="D86" s="29"/>
      <c r="E86" s="29"/>
      <c r="F86" s="29"/>
      <c r="G86" s="36" t="str">
        <f>IFERROR(VLOOKUP(F86,【会員】③プランマスタ!$A$4:$B$20,2,0),"")</f>
        <v/>
      </c>
      <c r="H86" s="30"/>
      <c r="I86" s="29"/>
      <c r="J86" s="29"/>
    </row>
    <row r="87" spans="1:10" ht="19.5" customHeight="1">
      <c r="A87" s="31"/>
      <c r="B87" s="31"/>
      <c r="C87" s="31"/>
      <c r="D87" s="31"/>
      <c r="E87" s="31"/>
      <c r="F87" s="31"/>
      <c r="G87" s="39" t="str">
        <f>IFERROR(VLOOKUP(F87,【会員】③プランマスタ!$A$4:$B$20,2,0),"")</f>
        <v/>
      </c>
      <c r="H87" s="32"/>
      <c r="I87" s="31"/>
      <c r="J87" s="31"/>
    </row>
    <row r="88" spans="1:10" ht="19.5" customHeight="1">
      <c r="A88" s="29"/>
      <c r="B88" s="29"/>
      <c r="C88" s="29"/>
      <c r="D88" s="29"/>
      <c r="E88" s="29"/>
      <c r="F88" s="29"/>
      <c r="G88" s="36" t="str">
        <f>IFERROR(VLOOKUP(F88,【会員】③プランマスタ!$A$4:$B$20,2,0),"")</f>
        <v/>
      </c>
      <c r="H88" s="30"/>
      <c r="I88" s="29"/>
      <c r="J88" s="29"/>
    </row>
    <row r="89" spans="1:10" ht="19.5" customHeight="1">
      <c r="A89" s="31"/>
      <c r="B89" s="31"/>
      <c r="C89" s="31"/>
      <c r="D89" s="31"/>
      <c r="E89" s="31"/>
      <c r="F89" s="31"/>
      <c r="G89" s="39" t="str">
        <f>IFERROR(VLOOKUP(F89,【会員】③プランマスタ!$A$4:$B$20,2,0),"")</f>
        <v/>
      </c>
      <c r="H89" s="32"/>
      <c r="I89" s="31"/>
      <c r="J89" s="31"/>
    </row>
    <row r="90" spans="1:10" ht="19.5" customHeight="1">
      <c r="A90" s="29"/>
      <c r="B90" s="29"/>
      <c r="C90" s="29"/>
      <c r="D90" s="29"/>
      <c r="E90" s="29"/>
      <c r="F90" s="29"/>
      <c r="G90" s="36" t="str">
        <f>IFERROR(VLOOKUP(F90,【会員】③プランマスタ!$A$4:$B$20,2,0),"")</f>
        <v/>
      </c>
      <c r="H90" s="30"/>
      <c r="I90" s="29"/>
      <c r="J90" s="29"/>
    </row>
    <row r="91" spans="1:10" ht="19.5" customHeight="1">
      <c r="A91" s="31"/>
      <c r="B91" s="31"/>
      <c r="C91" s="31"/>
      <c r="D91" s="31"/>
      <c r="E91" s="31"/>
      <c r="F91" s="31"/>
      <c r="G91" s="39" t="str">
        <f>IFERROR(VLOOKUP(F91,【会員】③プランマスタ!$A$4:$B$20,2,0),"")</f>
        <v/>
      </c>
      <c r="H91" s="32"/>
      <c r="I91" s="31"/>
      <c r="J91" s="31"/>
    </row>
    <row r="92" spans="1:10" ht="19.5" customHeight="1">
      <c r="A92" s="29"/>
      <c r="B92" s="29"/>
      <c r="C92" s="29"/>
      <c r="D92" s="29"/>
      <c r="E92" s="29"/>
      <c r="F92" s="29"/>
      <c r="G92" s="36" t="str">
        <f>IFERROR(VLOOKUP(F92,【会員】③プランマスタ!$A$4:$B$20,2,0),"")</f>
        <v/>
      </c>
      <c r="H92" s="30"/>
      <c r="I92" s="29"/>
      <c r="J92" s="29"/>
    </row>
    <row r="93" spans="1:10" ht="19.5" customHeight="1">
      <c r="A93" s="31"/>
      <c r="B93" s="31"/>
      <c r="C93" s="31"/>
      <c r="D93" s="31"/>
      <c r="E93" s="31"/>
      <c r="F93" s="31"/>
      <c r="G93" s="39" t="str">
        <f>IFERROR(VLOOKUP(F93,【会員】③プランマスタ!$A$4:$B$20,2,0),"")</f>
        <v/>
      </c>
      <c r="H93" s="32"/>
      <c r="I93" s="31"/>
      <c r="J93" s="31"/>
    </row>
    <row r="94" spans="1:10" ht="19.5" customHeight="1">
      <c r="A94" s="29"/>
      <c r="B94" s="29"/>
      <c r="C94" s="29"/>
      <c r="D94" s="29"/>
      <c r="E94" s="29"/>
      <c r="F94" s="29"/>
      <c r="G94" s="36" t="str">
        <f>IFERROR(VLOOKUP(F94,【会員】③プランマスタ!$A$4:$B$20,2,0),"")</f>
        <v/>
      </c>
      <c r="H94" s="30"/>
      <c r="I94" s="29"/>
      <c r="J94" s="29"/>
    </row>
    <row r="95" spans="1:10" ht="19.5" customHeight="1">
      <c r="A95" s="31"/>
      <c r="B95" s="31"/>
      <c r="C95" s="31"/>
      <c r="D95" s="31"/>
      <c r="E95" s="31"/>
      <c r="F95" s="31"/>
      <c r="G95" s="39" t="str">
        <f>IFERROR(VLOOKUP(F95,【会員】③プランマスタ!$A$4:$B$20,2,0),"")</f>
        <v/>
      </c>
      <c r="H95" s="32"/>
      <c r="I95" s="31"/>
      <c r="J95" s="31"/>
    </row>
    <row r="96" spans="1:10" ht="19.5" customHeight="1">
      <c r="A96" s="29"/>
      <c r="B96" s="29"/>
      <c r="C96" s="29"/>
      <c r="D96" s="29"/>
      <c r="E96" s="29"/>
      <c r="F96" s="29"/>
      <c r="G96" s="36" t="str">
        <f>IFERROR(VLOOKUP(F96,【会員】③プランマスタ!$A$4:$B$20,2,0),"")</f>
        <v/>
      </c>
      <c r="H96" s="30"/>
      <c r="I96" s="29"/>
      <c r="J96" s="29"/>
    </row>
    <row r="97" spans="1:10" ht="19.5" customHeight="1">
      <c r="A97" s="31"/>
      <c r="B97" s="31"/>
      <c r="C97" s="31"/>
      <c r="D97" s="31"/>
      <c r="E97" s="31"/>
      <c r="F97" s="31"/>
      <c r="G97" s="39" t="str">
        <f>IFERROR(VLOOKUP(F97,【会員】③プランマスタ!$A$4:$B$20,2,0),"")</f>
        <v/>
      </c>
      <c r="H97" s="32"/>
      <c r="I97" s="31"/>
      <c r="J97" s="31"/>
    </row>
    <row r="98" spans="1:10" ht="19.5" customHeight="1">
      <c r="A98" s="29"/>
      <c r="B98" s="29"/>
      <c r="C98" s="29"/>
      <c r="D98" s="29"/>
      <c r="E98" s="29"/>
      <c r="F98" s="29"/>
      <c r="G98" s="36" t="str">
        <f>IFERROR(VLOOKUP(F98,【会員】③プランマスタ!$A$4:$B$20,2,0),"")</f>
        <v/>
      </c>
      <c r="H98" s="30"/>
      <c r="I98" s="29"/>
      <c r="J98" s="29"/>
    </row>
    <row r="99" spans="1:10" ht="19.5" customHeight="1">
      <c r="A99" s="31"/>
      <c r="B99" s="31"/>
      <c r="C99" s="31"/>
      <c r="D99" s="31"/>
      <c r="E99" s="31"/>
      <c r="F99" s="31"/>
      <c r="G99" s="39" t="str">
        <f>IFERROR(VLOOKUP(F99,【会員】③プランマスタ!$A$4:$B$20,2,0),"")</f>
        <v/>
      </c>
      <c r="H99" s="32"/>
      <c r="I99" s="31"/>
      <c r="J99" s="31"/>
    </row>
    <row r="100" spans="1:10" ht="19.5" customHeight="1">
      <c r="A100" s="29"/>
      <c r="B100" s="29"/>
      <c r="C100" s="29"/>
      <c r="D100" s="29"/>
      <c r="E100" s="29"/>
      <c r="F100" s="29"/>
      <c r="G100" s="36" t="str">
        <f>IFERROR(VLOOKUP(F100,【会員】③プランマスタ!$A$4:$B$20,2,0),"")</f>
        <v/>
      </c>
      <c r="H100" s="30"/>
      <c r="I100" s="29"/>
      <c r="J100" s="29"/>
    </row>
    <row r="101" spans="1:10" ht="19.5" customHeight="1">
      <c r="A101" s="31"/>
      <c r="B101" s="31"/>
      <c r="C101" s="31"/>
      <c r="D101" s="31"/>
      <c r="E101" s="31"/>
      <c r="F101" s="31"/>
      <c r="G101" s="39" t="str">
        <f>IFERROR(VLOOKUP(F101,【会員】③プランマスタ!$A$4:$B$20,2,0),"")</f>
        <v/>
      </c>
      <c r="H101" s="32"/>
      <c r="I101" s="31"/>
      <c r="J101" s="31"/>
    </row>
    <row r="102" spans="1:10" ht="19.5" customHeight="1">
      <c r="A102" s="29"/>
      <c r="B102" s="29"/>
      <c r="C102" s="29"/>
      <c r="D102" s="29"/>
      <c r="E102" s="29"/>
      <c r="F102" s="29"/>
      <c r="G102" s="36" t="str">
        <f>IFERROR(VLOOKUP(F102,【会員】③プランマスタ!$A$4:$B$20,2,0),"")</f>
        <v/>
      </c>
      <c r="H102" s="30"/>
      <c r="I102" s="29"/>
      <c r="J102" s="29"/>
    </row>
    <row r="103" spans="1:10" ht="19.5" customHeight="1">
      <c r="A103" s="31"/>
      <c r="B103" s="31"/>
      <c r="C103" s="31"/>
      <c r="D103" s="31"/>
      <c r="E103" s="31"/>
      <c r="F103" s="31"/>
      <c r="G103" s="39" t="str">
        <f>IFERROR(VLOOKUP(F103,【会員】③プランマスタ!$A$4:$B$20,2,0),"")</f>
        <v/>
      </c>
      <c r="H103" s="32"/>
      <c r="I103" s="31"/>
      <c r="J103" s="31"/>
    </row>
    <row r="104" spans="1:10" ht="19.5" customHeight="1">
      <c r="A104" s="29"/>
      <c r="B104" s="29"/>
      <c r="C104" s="29"/>
      <c r="D104" s="29"/>
      <c r="E104" s="29"/>
      <c r="F104" s="29"/>
      <c r="G104" s="36" t="str">
        <f>IFERROR(VLOOKUP(F104,【会員】③プランマスタ!$A$4:$B$20,2,0),"")</f>
        <v/>
      </c>
      <c r="H104" s="30"/>
      <c r="I104" s="29"/>
      <c r="J104" s="29"/>
    </row>
    <row r="105" spans="1:10" ht="19.5" customHeight="1">
      <c r="A105" s="31"/>
      <c r="B105" s="31"/>
      <c r="C105" s="31"/>
      <c r="D105" s="31"/>
      <c r="E105" s="31"/>
      <c r="F105" s="31"/>
      <c r="G105" s="39" t="str">
        <f>IFERROR(VLOOKUP(F105,【会員】③プランマスタ!$A$4:$B$20,2,0),"")</f>
        <v/>
      </c>
      <c r="H105" s="32"/>
      <c r="I105" s="31"/>
      <c r="J105" s="31"/>
    </row>
  </sheetData>
  <mergeCells count="2">
    <mergeCell ref="A1:J1"/>
    <mergeCell ref="A2:J2"/>
  </mergeCells>
  <phoneticPr fontId="37"/>
  <conditionalFormatting sqref="A4:J105">
    <cfRule type="cellIs" dxfId="7" priority="2" operator="equal">
      <formula>"退会"</formula>
    </cfRule>
  </conditionalFormatting>
  <conditionalFormatting sqref="I4:I105">
    <cfRule type="cellIs" dxfId="6" priority="3" operator="equal">
      <formula>"退会"</formula>
    </cfRule>
    <cfRule type="cellIs" dxfId="5" priority="4" operator="equal">
      <formula>"休会"</formula>
    </cfRule>
  </conditionalFormatting>
  <dataValidations count="1">
    <dataValidation type="list" allowBlank="1" sqref="I6:I105" xr:uid="{00000000-0002-0000-0500-000000000000}">
      <formula1>"在籍,休会,退会"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OFFSET(【会員】③プランマスタ!$A$4,0,0,COUNTA(【会員】③プランマスタ!$A$4:$A$20),1)</xm:f>
          </x14:formula1>
          <x14:formula2>
            <xm:f>0</xm:f>
          </x14:formula2>
          <xm:sqref>F6:F105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559A"/>
  </sheetPr>
  <dimension ref="A1:F103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4" customWidth="1"/>
    <col min="2" max="2" width="40" customWidth="1"/>
    <col min="3" max="4" width="16" customWidth="1"/>
    <col min="5" max="5" width="24" customWidth="1"/>
  </cols>
  <sheetData>
    <row r="1" spans="1:6" ht="24" customHeight="1">
      <c r="A1" s="2" t="s">
        <v>135</v>
      </c>
      <c r="B1" s="2"/>
      <c r="C1" s="2"/>
      <c r="D1" s="2"/>
      <c r="E1" s="2"/>
      <c r="F1" s="2"/>
    </row>
    <row r="2" spans="1:6" ht="15.75" customHeight="1">
      <c r="A2" s="8" t="s">
        <v>136</v>
      </c>
      <c r="B2" s="8"/>
      <c r="C2" s="8"/>
      <c r="D2" s="8"/>
      <c r="E2" s="8"/>
      <c r="F2" s="8"/>
    </row>
    <row r="3" spans="1:6" ht="27.75" customHeight="1">
      <c r="A3" s="55" t="s">
        <v>72</v>
      </c>
      <c r="B3" s="55" t="s">
        <v>137</v>
      </c>
      <c r="C3" s="55" t="s">
        <v>77</v>
      </c>
      <c r="D3" s="55" t="s">
        <v>138</v>
      </c>
      <c r="E3" s="55" t="s">
        <v>55</v>
      </c>
    </row>
    <row r="4" spans="1:6" ht="19.5" customHeight="1">
      <c r="A4" s="56">
        <v>46198</v>
      </c>
      <c r="B4" s="57" t="s">
        <v>139</v>
      </c>
      <c r="C4" s="58">
        <v>5000</v>
      </c>
      <c r="D4" s="58"/>
      <c r="E4" s="57"/>
    </row>
    <row r="5" spans="1:6" ht="19.5" customHeight="1">
      <c r="A5" s="56">
        <v>46198</v>
      </c>
      <c r="B5" s="57" t="s">
        <v>140</v>
      </c>
      <c r="C5" s="58">
        <v>10000</v>
      </c>
      <c r="D5" s="58"/>
      <c r="E5" s="57"/>
    </row>
    <row r="6" spans="1:6" ht="19.5" customHeight="1">
      <c r="A6" s="56">
        <v>46199</v>
      </c>
      <c r="B6" s="57" t="s">
        <v>141</v>
      </c>
      <c r="C6" s="58">
        <v>5000</v>
      </c>
      <c r="D6" s="58"/>
      <c r="E6" s="57"/>
    </row>
    <row r="7" spans="1:6" ht="19.5" customHeight="1">
      <c r="A7" s="59"/>
      <c r="B7" s="52"/>
      <c r="C7" s="53"/>
      <c r="D7" s="53"/>
      <c r="E7" s="52"/>
    </row>
    <row r="8" spans="1:6" ht="19.5" customHeight="1">
      <c r="A8" s="59"/>
      <c r="B8" s="52"/>
      <c r="C8" s="53"/>
      <c r="D8" s="53"/>
      <c r="E8" s="52"/>
    </row>
    <row r="9" spans="1:6" ht="19.5" customHeight="1">
      <c r="A9" s="59"/>
      <c r="B9" s="52"/>
      <c r="C9" s="53"/>
      <c r="D9" s="53"/>
      <c r="E9" s="52"/>
    </row>
    <row r="10" spans="1:6" ht="19.5" customHeight="1">
      <c r="A10" s="59"/>
      <c r="B10" s="52"/>
      <c r="C10" s="53"/>
      <c r="D10" s="53"/>
      <c r="E10" s="52"/>
    </row>
    <row r="11" spans="1:6" ht="19.5" customHeight="1">
      <c r="A11" s="59"/>
      <c r="B11" s="52"/>
      <c r="C11" s="53"/>
      <c r="D11" s="53"/>
      <c r="E11" s="52"/>
    </row>
    <row r="12" spans="1:6" ht="19.5" customHeight="1">
      <c r="A12" s="59"/>
      <c r="B12" s="52"/>
      <c r="C12" s="53"/>
      <c r="D12" s="53"/>
      <c r="E12" s="52"/>
    </row>
    <row r="13" spans="1:6" ht="19.5" customHeight="1">
      <c r="A13" s="59"/>
      <c r="B13" s="52"/>
      <c r="C13" s="53"/>
      <c r="D13" s="53"/>
      <c r="E13" s="52"/>
    </row>
    <row r="14" spans="1:6" ht="19.5" customHeight="1">
      <c r="A14" s="59"/>
      <c r="B14" s="52"/>
      <c r="C14" s="53"/>
      <c r="D14" s="53"/>
      <c r="E14" s="52"/>
    </row>
    <row r="15" spans="1:6" ht="19.5" customHeight="1">
      <c r="A15" s="59"/>
      <c r="B15" s="52"/>
      <c r="C15" s="53"/>
      <c r="D15" s="53"/>
      <c r="E15" s="52"/>
    </row>
    <row r="16" spans="1:6" ht="19.5" customHeight="1">
      <c r="A16" s="59"/>
      <c r="B16" s="52"/>
      <c r="C16" s="53"/>
      <c r="D16" s="53"/>
      <c r="E16" s="52"/>
    </row>
    <row r="17" spans="1:5" ht="19.5" customHeight="1">
      <c r="A17" s="59"/>
      <c r="B17" s="52"/>
      <c r="C17" s="53"/>
      <c r="D17" s="53"/>
      <c r="E17" s="52"/>
    </row>
    <row r="18" spans="1:5" ht="19.5" customHeight="1">
      <c r="A18" s="59"/>
      <c r="B18" s="52"/>
      <c r="C18" s="53"/>
      <c r="D18" s="53"/>
      <c r="E18" s="52"/>
    </row>
    <row r="19" spans="1:5" ht="19.5" customHeight="1">
      <c r="A19" s="59"/>
      <c r="B19" s="52"/>
      <c r="C19" s="53"/>
      <c r="D19" s="53"/>
      <c r="E19" s="52"/>
    </row>
    <row r="20" spans="1:5" ht="19.5" customHeight="1">
      <c r="A20" s="59"/>
      <c r="B20" s="52"/>
      <c r="C20" s="53"/>
      <c r="D20" s="53"/>
      <c r="E20" s="52"/>
    </row>
    <row r="21" spans="1:5" ht="19.5" customHeight="1">
      <c r="A21" s="59"/>
      <c r="B21" s="52"/>
      <c r="C21" s="53"/>
      <c r="D21" s="53"/>
      <c r="E21" s="52"/>
    </row>
    <row r="22" spans="1:5" ht="19.5" customHeight="1">
      <c r="A22" s="59"/>
      <c r="B22" s="52"/>
      <c r="C22" s="53"/>
      <c r="D22" s="53"/>
      <c r="E22" s="52"/>
    </row>
    <row r="23" spans="1:5" ht="19.5" customHeight="1">
      <c r="A23" s="59"/>
      <c r="B23" s="52"/>
      <c r="C23" s="53"/>
      <c r="D23" s="53"/>
      <c r="E23" s="52"/>
    </row>
    <row r="24" spans="1:5" ht="19.5" customHeight="1">
      <c r="A24" s="59"/>
      <c r="B24" s="52"/>
      <c r="C24" s="53"/>
      <c r="D24" s="53"/>
      <c r="E24" s="52"/>
    </row>
    <row r="25" spans="1:5" ht="19.5" customHeight="1">
      <c r="A25" s="59"/>
      <c r="B25" s="52"/>
      <c r="C25" s="53"/>
      <c r="D25" s="53"/>
      <c r="E25" s="52"/>
    </row>
    <row r="26" spans="1:5" ht="19.5" customHeight="1">
      <c r="A26" s="59"/>
      <c r="B26" s="52"/>
      <c r="C26" s="53"/>
      <c r="D26" s="53"/>
      <c r="E26" s="52"/>
    </row>
    <row r="27" spans="1:5" ht="19.5" customHeight="1">
      <c r="A27" s="59"/>
      <c r="B27" s="52"/>
      <c r="C27" s="53"/>
      <c r="D27" s="53"/>
      <c r="E27" s="52"/>
    </row>
    <row r="28" spans="1:5" ht="19.5" customHeight="1">
      <c r="A28" s="59"/>
      <c r="B28" s="52"/>
      <c r="C28" s="53"/>
      <c r="D28" s="53"/>
      <c r="E28" s="52"/>
    </row>
    <row r="29" spans="1:5" ht="19.5" customHeight="1">
      <c r="A29" s="59"/>
      <c r="B29" s="52"/>
      <c r="C29" s="53"/>
      <c r="D29" s="53"/>
      <c r="E29" s="52"/>
    </row>
    <row r="30" spans="1:5" ht="19.5" customHeight="1">
      <c r="A30" s="59"/>
      <c r="B30" s="52"/>
      <c r="C30" s="53"/>
      <c r="D30" s="53"/>
      <c r="E30" s="52"/>
    </row>
    <row r="31" spans="1:5" ht="19.5" customHeight="1">
      <c r="A31" s="59"/>
      <c r="B31" s="52"/>
      <c r="C31" s="53"/>
      <c r="D31" s="53"/>
      <c r="E31" s="52"/>
    </row>
    <row r="32" spans="1:5" ht="19.5" customHeight="1">
      <c r="A32" s="59"/>
      <c r="B32" s="52"/>
      <c r="C32" s="53"/>
      <c r="D32" s="53"/>
      <c r="E32" s="52"/>
    </row>
    <row r="33" spans="1:5" ht="19.5" customHeight="1">
      <c r="A33" s="59"/>
      <c r="B33" s="52"/>
      <c r="C33" s="53"/>
      <c r="D33" s="53"/>
      <c r="E33" s="52"/>
    </row>
    <row r="34" spans="1:5" ht="19.5" customHeight="1">
      <c r="A34" s="59"/>
      <c r="B34" s="52"/>
      <c r="C34" s="53"/>
      <c r="D34" s="53"/>
      <c r="E34" s="52"/>
    </row>
    <row r="35" spans="1:5" ht="19.5" customHeight="1">
      <c r="A35" s="59"/>
      <c r="B35" s="52"/>
      <c r="C35" s="53"/>
      <c r="D35" s="53"/>
      <c r="E35" s="52"/>
    </row>
    <row r="36" spans="1:5" ht="19.5" customHeight="1">
      <c r="A36" s="59"/>
      <c r="B36" s="52"/>
      <c r="C36" s="53"/>
      <c r="D36" s="53"/>
      <c r="E36" s="52"/>
    </row>
    <row r="37" spans="1:5" ht="19.5" customHeight="1">
      <c r="A37" s="59"/>
      <c r="B37" s="52"/>
      <c r="C37" s="53"/>
      <c r="D37" s="53"/>
      <c r="E37" s="52"/>
    </row>
    <row r="38" spans="1:5" ht="19.5" customHeight="1">
      <c r="A38" s="59"/>
      <c r="B38" s="52"/>
      <c r="C38" s="53"/>
      <c r="D38" s="53"/>
      <c r="E38" s="52"/>
    </row>
    <row r="39" spans="1:5" ht="19.5" customHeight="1">
      <c r="A39" s="59"/>
      <c r="B39" s="52"/>
      <c r="C39" s="53"/>
      <c r="D39" s="53"/>
      <c r="E39" s="52"/>
    </row>
    <row r="40" spans="1:5" ht="19.5" customHeight="1">
      <c r="A40" s="59"/>
      <c r="B40" s="52"/>
      <c r="C40" s="53"/>
      <c r="D40" s="53"/>
      <c r="E40" s="52"/>
    </row>
    <row r="41" spans="1:5" ht="19.5" customHeight="1">
      <c r="A41" s="59"/>
      <c r="B41" s="52"/>
      <c r="C41" s="53"/>
      <c r="D41" s="53"/>
      <c r="E41" s="52"/>
    </row>
    <row r="42" spans="1:5" ht="19.5" customHeight="1">
      <c r="A42" s="59"/>
      <c r="B42" s="52"/>
      <c r="C42" s="53"/>
      <c r="D42" s="53"/>
      <c r="E42" s="52"/>
    </row>
    <row r="43" spans="1:5" ht="19.5" customHeight="1">
      <c r="A43" s="59"/>
      <c r="B43" s="52"/>
      <c r="C43" s="53"/>
      <c r="D43" s="53"/>
      <c r="E43" s="52"/>
    </row>
    <row r="44" spans="1:5" ht="19.5" customHeight="1">
      <c r="A44" s="59"/>
      <c r="B44" s="52"/>
      <c r="C44" s="53"/>
      <c r="D44" s="53"/>
      <c r="E44" s="52"/>
    </row>
    <row r="45" spans="1:5" ht="19.5" customHeight="1">
      <c r="A45" s="59"/>
      <c r="B45" s="52"/>
      <c r="C45" s="53"/>
      <c r="D45" s="53"/>
      <c r="E45" s="52"/>
    </row>
    <row r="46" spans="1:5" ht="19.5" customHeight="1">
      <c r="A46" s="59"/>
      <c r="B46" s="52"/>
      <c r="C46" s="53"/>
      <c r="D46" s="53"/>
      <c r="E46" s="52"/>
    </row>
    <row r="47" spans="1:5" ht="19.5" customHeight="1">
      <c r="A47" s="59"/>
      <c r="B47" s="52"/>
      <c r="C47" s="53"/>
      <c r="D47" s="53"/>
      <c r="E47" s="52"/>
    </row>
    <row r="48" spans="1:5" ht="19.5" customHeight="1">
      <c r="A48" s="59"/>
      <c r="B48" s="52"/>
      <c r="C48" s="53"/>
      <c r="D48" s="53"/>
      <c r="E48" s="52"/>
    </row>
    <row r="49" spans="1:5" ht="19.5" customHeight="1">
      <c r="A49" s="59"/>
      <c r="B49" s="52"/>
      <c r="C49" s="53"/>
      <c r="D49" s="53"/>
      <c r="E49" s="52"/>
    </row>
    <row r="50" spans="1:5" ht="19.5" customHeight="1">
      <c r="A50" s="59"/>
      <c r="B50" s="52"/>
      <c r="C50" s="53"/>
      <c r="D50" s="53"/>
      <c r="E50" s="52"/>
    </row>
    <row r="51" spans="1:5" ht="19.5" customHeight="1">
      <c r="A51" s="59"/>
      <c r="B51" s="52"/>
      <c r="C51" s="53"/>
      <c r="D51" s="53"/>
      <c r="E51" s="52"/>
    </row>
    <row r="52" spans="1:5" ht="19.5" customHeight="1">
      <c r="A52" s="59"/>
      <c r="B52" s="52"/>
      <c r="C52" s="53"/>
      <c r="D52" s="53"/>
      <c r="E52" s="52"/>
    </row>
    <row r="53" spans="1:5" ht="19.5" customHeight="1">
      <c r="A53" s="59"/>
      <c r="B53" s="52"/>
      <c r="C53" s="53"/>
      <c r="D53" s="53"/>
      <c r="E53" s="52"/>
    </row>
    <row r="54" spans="1:5" ht="19.5" customHeight="1">
      <c r="A54" s="59"/>
      <c r="B54" s="52"/>
      <c r="C54" s="53"/>
      <c r="D54" s="53"/>
      <c r="E54" s="52"/>
    </row>
    <row r="55" spans="1:5" ht="19.5" customHeight="1">
      <c r="A55" s="59"/>
      <c r="B55" s="52"/>
      <c r="C55" s="53"/>
      <c r="D55" s="53"/>
      <c r="E55" s="52"/>
    </row>
    <row r="56" spans="1:5" ht="19.5" customHeight="1">
      <c r="A56" s="59"/>
      <c r="B56" s="52"/>
      <c r="C56" s="53"/>
      <c r="D56" s="53"/>
      <c r="E56" s="52"/>
    </row>
    <row r="57" spans="1:5" ht="19.5" customHeight="1">
      <c r="A57" s="59"/>
      <c r="B57" s="52"/>
      <c r="C57" s="53"/>
      <c r="D57" s="53"/>
      <c r="E57" s="52"/>
    </row>
    <row r="58" spans="1:5" ht="19.5" customHeight="1">
      <c r="A58" s="59"/>
      <c r="B58" s="52"/>
      <c r="C58" s="53"/>
      <c r="D58" s="53"/>
      <c r="E58" s="52"/>
    </row>
    <row r="59" spans="1:5" ht="19.5" customHeight="1">
      <c r="A59" s="59"/>
      <c r="B59" s="52"/>
      <c r="C59" s="53"/>
      <c r="D59" s="53"/>
      <c r="E59" s="52"/>
    </row>
    <row r="60" spans="1:5" ht="19.5" customHeight="1">
      <c r="A60" s="59"/>
      <c r="B60" s="52"/>
      <c r="C60" s="53"/>
      <c r="D60" s="53"/>
      <c r="E60" s="52"/>
    </row>
    <row r="61" spans="1:5" ht="19.5" customHeight="1">
      <c r="A61" s="59"/>
      <c r="B61" s="52"/>
      <c r="C61" s="53"/>
      <c r="D61" s="53"/>
      <c r="E61" s="52"/>
    </row>
    <row r="62" spans="1:5" ht="19.5" customHeight="1">
      <c r="A62" s="59"/>
      <c r="B62" s="52"/>
      <c r="C62" s="53"/>
      <c r="D62" s="53"/>
      <c r="E62" s="52"/>
    </row>
    <row r="63" spans="1:5" ht="19.5" customHeight="1">
      <c r="A63" s="59"/>
      <c r="B63" s="52"/>
      <c r="C63" s="53"/>
      <c r="D63" s="53"/>
      <c r="E63" s="52"/>
    </row>
    <row r="64" spans="1:5" ht="19.5" customHeight="1">
      <c r="A64" s="59"/>
      <c r="B64" s="52"/>
      <c r="C64" s="53"/>
      <c r="D64" s="53"/>
      <c r="E64" s="52"/>
    </row>
    <row r="65" spans="1:5" ht="19.5" customHeight="1">
      <c r="A65" s="59"/>
      <c r="B65" s="52"/>
      <c r="C65" s="53"/>
      <c r="D65" s="53"/>
      <c r="E65" s="52"/>
    </row>
    <row r="66" spans="1:5" ht="19.5" customHeight="1">
      <c r="A66" s="59"/>
      <c r="B66" s="52"/>
      <c r="C66" s="53"/>
      <c r="D66" s="53"/>
      <c r="E66" s="52"/>
    </row>
    <row r="67" spans="1:5" ht="19.5" customHeight="1">
      <c r="A67" s="59"/>
      <c r="B67" s="52"/>
      <c r="C67" s="53"/>
      <c r="D67" s="53"/>
      <c r="E67" s="52"/>
    </row>
    <row r="68" spans="1:5" ht="19.5" customHeight="1">
      <c r="A68" s="59"/>
      <c r="B68" s="52"/>
      <c r="C68" s="53"/>
      <c r="D68" s="53"/>
      <c r="E68" s="52"/>
    </row>
    <row r="69" spans="1:5" ht="19.5" customHeight="1">
      <c r="A69" s="59"/>
      <c r="B69" s="52"/>
      <c r="C69" s="53"/>
      <c r="D69" s="53"/>
      <c r="E69" s="52"/>
    </row>
    <row r="70" spans="1:5" ht="19.5" customHeight="1">
      <c r="A70" s="59"/>
      <c r="B70" s="52"/>
      <c r="C70" s="53"/>
      <c r="D70" s="53"/>
      <c r="E70" s="52"/>
    </row>
    <row r="71" spans="1:5" ht="19.5" customHeight="1">
      <c r="A71" s="59"/>
      <c r="B71" s="52"/>
      <c r="C71" s="53"/>
      <c r="D71" s="53"/>
      <c r="E71" s="52"/>
    </row>
    <row r="72" spans="1:5" ht="19.5" customHeight="1">
      <c r="A72" s="59"/>
      <c r="B72" s="52"/>
      <c r="C72" s="53"/>
      <c r="D72" s="53"/>
      <c r="E72" s="52"/>
    </row>
    <row r="73" spans="1:5" ht="19.5" customHeight="1">
      <c r="A73" s="59"/>
      <c r="B73" s="52"/>
      <c r="C73" s="53"/>
      <c r="D73" s="53"/>
      <c r="E73" s="52"/>
    </row>
    <row r="74" spans="1:5" ht="19.5" customHeight="1">
      <c r="A74" s="59"/>
      <c r="B74" s="52"/>
      <c r="C74" s="53"/>
      <c r="D74" s="53"/>
      <c r="E74" s="52"/>
    </row>
    <row r="75" spans="1:5" ht="19.5" customHeight="1">
      <c r="A75" s="59"/>
      <c r="B75" s="52"/>
      <c r="C75" s="53"/>
      <c r="D75" s="53"/>
      <c r="E75" s="52"/>
    </row>
    <row r="76" spans="1:5" ht="19.5" customHeight="1">
      <c r="A76" s="59"/>
      <c r="B76" s="52"/>
      <c r="C76" s="53"/>
      <c r="D76" s="53"/>
      <c r="E76" s="52"/>
    </row>
    <row r="77" spans="1:5" ht="19.5" customHeight="1">
      <c r="A77" s="59"/>
      <c r="B77" s="52"/>
      <c r="C77" s="53"/>
      <c r="D77" s="53"/>
      <c r="E77" s="52"/>
    </row>
    <row r="78" spans="1:5" ht="19.5" customHeight="1">
      <c r="A78" s="59"/>
      <c r="B78" s="52"/>
      <c r="C78" s="53"/>
      <c r="D78" s="53"/>
      <c r="E78" s="52"/>
    </row>
    <row r="79" spans="1:5" ht="19.5" customHeight="1">
      <c r="A79" s="59"/>
      <c r="B79" s="52"/>
      <c r="C79" s="53"/>
      <c r="D79" s="53"/>
      <c r="E79" s="52"/>
    </row>
    <row r="80" spans="1:5" ht="19.5" customHeight="1">
      <c r="A80" s="59"/>
      <c r="B80" s="52"/>
      <c r="C80" s="53"/>
      <c r="D80" s="53"/>
      <c r="E80" s="52"/>
    </row>
    <row r="81" spans="1:5" ht="19.5" customHeight="1">
      <c r="A81" s="59"/>
      <c r="B81" s="52"/>
      <c r="C81" s="53"/>
      <c r="D81" s="53"/>
      <c r="E81" s="52"/>
    </row>
    <row r="82" spans="1:5" ht="19.5" customHeight="1">
      <c r="A82" s="59"/>
      <c r="B82" s="52"/>
      <c r="C82" s="53"/>
      <c r="D82" s="53"/>
      <c r="E82" s="52"/>
    </row>
    <row r="83" spans="1:5" ht="19.5" customHeight="1">
      <c r="A83" s="59"/>
      <c r="B83" s="52"/>
      <c r="C83" s="53"/>
      <c r="D83" s="53"/>
      <c r="E83" s="52"/>
    </row>
    <row r="84" spans="1:5" ht="19.5" customHeight="1">
      <c r="A84" s="59"/>
      <c r="B84" s="52"/>
      <c r="C84" s="53"/>
      <c r="D84" s="53"/>
      <c r="E84" s="52"/>
    </row>
    <row r="85" spans="1:5" ht="19.5" customHeight="1">
      <c r="A85" s="59"/>
      <c r="B85" s="52"/>
      <c r="C85" s="53"/>
      <c r="D85" s="53"/>
      <c r="E85" s="52"/>
    </row>
    <row r="86" spans="1:5" ht="19.5" customHeight="1">
      <c r="A86" s="59"/>
      <c r="B86" s="52"/>
      <c r="C86" s="53"/>
      <c r="D86" s="53"/>
      <c r="E86" s="52"/>
    </row>
    <row r="87" spans="1:5" ht="19.5" customHeight="1">
      <c r="A87" s="59"/>
      <c r="B87" s="52"/>
      <c r="C87" s="53"/>
      <c r="D87" s="53"/>
      <c r="E87" s="52"/>
    </row>
    <row r="88" spans="1:5" ht="19.5" customHeight="1">
      <c r="A88" s="59"/>
      <c r="B88" s="52"/>
      <c r="C88" s="53"/>
      <c r="D88" s="53"/>
      <c r="E88" s="52"/>
    </row>
    <row r="89" spans="1:5" ht="19.5" customHeight="1">
      <c r="A89" s="59"/>
      <c r="B89" s="52"/>
      <c r="C89" s="53"/>
      <c r="D89" s="53"/>
      <c r="E89" s="52"/>
    </row>
    <row r="90" spans="1:5" ht="19.5" customHeight="1">
      <c r="A90" s="59"/>
      <c r="B90" s="52"/>
      <c r="C90" s="53"/>
      <c r="D90" s="53"/>
      <c r="E90" s="52"/>
    </row>
    <row r="91" spans="1:5" ht="19.5" customHeight="1">
      <c r="A91" s="59"/>
      <c r="B91" s="52"/>
      <c r="C91" s="53"/>
      <c r="D91" s="53"/>
      <c r="E91" s="52"/>
    </row>
    <row r="92" spans="1:5" ht="19.5" customHeight="1">
      <c r="A92" s="59"/>
      <c r="B92" s="52"/>
      <c r="C92" s="53"/>
      <c r="D92" s="53"/>
      <c r="E92" s="52"/>
    </row>
    <row r="93" spans="1:5" ht="19.5" customHeight="1">
      <c r="A93" s="59"/>
      <c r="B93" s="52"/>
      <c r="C93" s="53"/>
      <c r="D93" s="53"/>
      <c r="E93" s="52"/>
    </row>
    <row r="94" spans="1:5" ht="19.5" customHeight="1">
      <c r="A94" s="59"/>
      <c r="B94" s="52"/>
      <c r="C94" s="53"/>
      <c r="D94" s="53"/>
      <c r="E94" s="52"/>
    </row>
    <row r="95" spans="1:5" ht="19.5" customHeight="1">
      <c r="A95" s="59"/>
      <c r="B95" s="52"/>
      <c r="C95" s="53"/>
      <c r="D95" s="53"/>
      <c r="E95" s="52"/>
    </row>
    <row r="96" spans="1:5" ht="19.5" customHeight="1">
      <c r="A96" s="59"/>
      <c r="B96" s="52"/>
      <c r="C96" s="53"/>
      <c r="D96" s="53"/>
      <c r="E96" s="52"/>
    </row>
    <row r="97" spans="1:5" ht="19.5" customHeight="1">
      <c r="A97" s="59"/>
      <c r="B97" s="52"/>
      <c r="C97" s="53"/>
      <c r="D97" s="53"/>
      <c r="E97" s="52"/>
    </row>
    <row r="98" spans="1:5" ht="19.5" customHeight="1">
      <c r="A98" s="59"/>
      <c r="B98" s="52"/>
      <c r="C98" s="53"/>
      <c r="D98" s="53"/>
      <c r="E98" s="52"/>
    </row>
    <row r="99" spans="1:5" ht="19.5" customHeight="1">
      <c r="A99" s="59"/>
      <c r="B99" s="52"/>
      <c r="C99" s="53"/>
      <c r="D99" s="53"/>
      <c r="E99" s="52"/>
    </row>
    <row r="100" spans="1:5" ht="19.5" customHeight="1">
      <c r="A100" s="59"/>
      <c r="B100" s="52"/>
      <c r="C100" s="53"/>
      <c r="D100" s="53"/>
      <c r="E100" s="52"/>
    </row>
    <row r="101" spans="1:5" ht="19.5" customHeight="1">
      <c r="A101" s="59"/>
      <c r="B101" s="52"/>
      <c r="C101" s="53"/>
      <c r="D101" s="53"/>
      <c r="E101" s="52"/>
    </row>
    <row r="102" spans="1:5" ht="19.5" customHeight="1">
      <c r="A102" s="59"/>
      <c r="B102" s="52"/>
      <c r="C102" s="53"/>
      <c r="D102" s="53"/>
      <c r="E102" s="52"/>
    </row>
    <row r="103" spans="1:5" ht="19.5" customHeight="1">
      <c r="A103" s="59"/>
      <c r="B103" s="52"/>
      <c r="C103" s="53"/>
      <c r="D103" s="53"/>
      <c r="E103" s="52"/>
    </row>
  </sheetData>
  <mergeCells count="2">
    <mergeCell ref="A1:F1"/>
    <mergeCell ref="A2:F2"/>
  </mergeCells>
  <phoneticPr fontId="37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559A"/>
  </sheetPr>
  <dimension ref="A1:J104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/>
  <cols>
    <col min="1" max="1" width="12" customWidth="1"/>
    <col min="2" max="4" width="16" customWidth="1"/>
    <col min="5" max="5" width="20" customWidth="1"/>
    <col min="6" max="7" width="16" customWidth="1"/>
    <col min="8" max="9" width="14" customWidth="1"/>
    <col min="10" max="10" width="20" customWidth="1"/>
  </cols>
  <sheetData>
    <row r="1" spans="1:10" ht="24" customHeight="1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8" t="s">
        <v>143</v>
      </c>
      <c r="B2" s="8"/>
      <c r="C2" s="8"/>
      <c r="D2" s="8"/>
      <c r="E2" s="8"/>
      <c r="F2" s="8"/>
      <c r="G2" s="8"/>
      <c r="H2" s="8"/>
      <c r="I2" s="8"/>
      <c r="J2" s="8"/>
    </row>
    <row r="3" spans="1:10" ht="27.75" customHeight="1">
      <c r="A3" s="60" t="s">
        <v>144</v>
      </c>
      <c r="B3" s="61">
        <v>46174</v>
      </c>
      <c r="C3" s="1" t="s">
        <v>170</v>
      </c>
      <c r="D3" s="1"/>
      <c r="E3" s="1"/>
      <c r="F3" s="1"/>
      <c r="G3" s="1"/>
      <c r="H3" s="1"/>
      <c r="I3" s="1"/>
      <c r="J3" s="1"/>
    </row>
    <row r="4" spans="1:10" ht="27.75" customHeight="1">
      <c r="A4" s="62" t="s">
        <v>115</v>
      </c>
      <c r="B4" s="62" t="s">
        <v>145</v>
      </c>
      <c r="C4" s="62" t="s">
        <v>146</v>
      </c>
      <c r="D4" s="62" t="s">
        <v>147</v>
      </c>
      <c r="E4" s="62" t="s">
        <v>148</v>
      </c>
      <c r="F4" s="62" t="s">
        <v>149</v>
      </c>
      <c r="G4" s="62" t="s">
        <v>150</v>
      </c>
      <c r="H4" s="62" t="s">
        <v>151</v>
      </c>
      <c r="I4" s="62" t="s">
        <v>152</v>
      </c>
      <c r="J4" s="62" t="s">
        <v>55</v>
      </c>
    </row>
    <row r="5" spans="1:10" ht="21.75" customHeight="1">
      <c r="A5" s="48"/>
      <c r="B5" s="37" t="str">
        <f>IFERROR(VLOOKUP(A5,【会員】①会員マスタ!$A$4:$J$105,2,0),"")</f>
        <v/>
      </c>
      <c r="C5" s="37" t="str">
        <f>IFERROR(VLOOKUP(A5,【会員】①会員マスタ!$A$4:$J$105,6,0),"")</f>
        <v/>
      </c>
      <c r="D5" s="39" t="str">
        <f>IFERROR(VLOOKUP(A5,【会員】①会員マスタ!$A$4:$J$105,7,0),"")</f>
        <v/>
      </c>
      <c r="E5" s="31" t="str">
        <f>IFERROR(VLOOKUP(A5,【会員】①会員マスタ!$A$4:$J$105,3,0),"")</f>
        <v/>
      </c>
      <c r="F5" s="39">
        <f>IFERROR(SUMPRODUCT((ISNUMBER(SEARCH(E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" s="38">
        <f t="shared" ref="G5:G36" si="0">IFERROR(F5,"")</f>
        <v>20000</v>
      </c>
      <c r="H5" s="63" t="str">
        <f t="shared" ref="H5:H36" si="1">IFERROR(IF(AND(D5&lt;&gt;"",G5&lt;&gt;""),D5-G5,""),"")</f>
        <v/>
      </c>
      <c r="I5" s="64" t="str">
        <f t="shared" ref="I5:I36" si="2">IF(A5="","",IF(G5="","未入金",IF(H5=0,"入金済",IF(H5&gt;0,"一部入金","要確認"))))</f>
        <v/>
      </c>
      <c r="J5" s="65"/>
    </row>
    <row r="6" spans="1:10" ht="21.75" customHeight="1">
      <c r="A6" s="66"/>
      <c r="B6" s="67" t="str">
        <f>IFERROR(VLOOKUP(A6,【会員】①会員マスタ!$A$4:$J$105,2,0),"")</f>
        <v/>
      </c>
      <c r="C6" s="67" t="str">
        <f>IFERROR(VLOOKUP(A6,【会員】①会員マスタ!$A$4:$J$105,6,0),"")</f>
        <v/>
      </c>
      <c r="D6" s="68" t="str">
        <f>IFERROR(VLOOKUP(A6,【会員】①会員マスタ!$A$4:$J$105,7,0),"")</f>
        <v/>
      </c>
      <c r="E6" s="69" t="str">
        <f>IFERROR(VLOOKUP(A6,【会員】①会員マスタ!$A$4:$J$105,3,0),"")</f>
        <v/>
      </c>
      <c r="F6" s="68">
        <f>IFERROR(SUMPRODUCT((ISNUMBER(SEARCH(E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" s="70">
        <f t="shared" si="0"/>
        <v>20000</v>
      </c>
      <c r="H6" s="71" t="str">
        <f t="shared" si="1"/>
        <v/>
      </c>
      <c r="I6" s="72" t="str">
        <f t="shared" si="2"/>
        <v/>
      </c>
      <c r="J6" s="73"/>
    </row>
    <row r="7" spans="1:10" ht="21.75" customHeight="1">
      <c r="A7" s="48"/>
      <c r="B7" s="37" t="str">
        <f>IFERROR(VLOOKUP(A7,【会員】①会員マスタ!$A$4:$J$105,2,0),"")</f>
        <v/>
      </c>
      <c r="C7" s="37" t="str">
        <f>IFERROR(VLOOKUP(A7,【会員】①会員マスタ!$A$4:$J$105,6,0),"")</f>
        <v/>
      </c>
      <c r="D7" s="39" t="str">
        <f>IFERROR(VLOOKUP(A7,【会員】①会員マスタ!$A$4:$J$105,7,0),"")</f>
        <v/>
      </c>
      <c r="E7" s="31" t="str">
        <f>IFERROR(VLOOKUP(A7,【会員】①会員マスタ!$A$4:$J$105,3,0),"")</f>
        <v/>
      </c>
      <c r="F7" s="39">
        <f>IFERROR(SUMPRODUCT((ISNUMBER(SEARCH(E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" s="38">
        <f t="shared" si="0"/>
        <v>20000</v>
      </c>
      <c r="H7" s="63" t="str">
        <f t="shared" si="1"/>
        <v/>
      </c>
      <c r="I7" s="64" t="str">
        <f t="shared" si="2"/>
        <v/>
      </c>
      <c r="J7" s="65"/>
    </row>
    <row r="8" spans="1:10" ht="21.75" customHeight="1">
      <c r="A8" s="66"/>
      <c r="B8" s="67" t="str">
        <f>IFERROR(VLOOKUP(A8,【会員】①会員マスタ!$A$4:$J$105,2,0),"")</f>
        <v/>
      </c>
      <c r="C8" s="67" t="str">
        <f>IFERROR(VLOOKUP(A8,【会員】①会員マスタ!$A$4:$J$105,6,0),"")</f>
        <v/>
      </c>
      <c r="D8" s="68" t="str">
        <f>IFERROR(VLOOKUP(A8,【会員】①会員マスタ!$A$4:$J$105,7,0),"")</f>
        <v/>
      </c>
      <c r="E8" s="69" t="str">
        <f>IFERROR(VLOOKUP(A8,【会員】①会員マスタ!$A$4:$J$105,3,0),"")</f>
        <v/>
      </c>
      <c r="F8" s="68">
        <f>IFERROR(SUMPRODUCT((ISNUMBER(SEARCH(E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" s="70">
        <f t="shared" si="0"/>
        <v>20000</v>
      </c>
      <c r="H8" s="71" t="str">
        <f t="shared" si="1"/>
        <v/>
      </c>
      <c r="I8" s="72" t="str">
        <f t="shared" si="2"/>
        <v/>
      </c>
      <c r="J8" s="73"/>
    </row>
    <row r="9" spans="1:10" ht="21.75" customHeight="1">
      <c r="A9" s="48"/>
      <c r="B9" s="37" t="str">
        <f>IFERROR(VLOOKUP(A9,【会員】①会員マスタ!$A$4:$J$105,2,0),"")</f>
        <v/>
      </c>
      <c r="C9" s="37" t="str">
        <f>IFERROR(VLOOKUP(A9,【会員】①会員マスタ!$A$4:$J$105,6,0),"")</f>
        <v/>
      </c>
      <c r="D9" s="39" t="str">
        <f>IFERROR(VLOOKUP(A9,【会員】①会員マスタ!$A$4:$J$105,7,0),"")</f>
        <v/>
      </c>
      <c r="E9" s="31" t="str">
        <f>IFERROR(VLOOKUP(A9,【会員】①会員マスタ!$A$4:$J$105,3,0),"")</f>
        <v/>
      </c>
      <c r="F9" s="39">
        <f>IFERROR(SUMPRODUCT((ISNUMBER(SEARCH(E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" s="38">
        <f t="shared" si="0"/>
        <v>20000</v>
      </c>
      <c r="H9" s="63" t="str">
        <f t="shared" si="1"/>
        <v/>
      </c>
      <c r="I9" s="64" t="str">
        <f t="shared" si="2"/>
        <v/>
      </c>
      <c r="J9" s="65"/>
    </row>
    <row r="10" spans="1:10" ht="21.75" customHeight="1">
      <c r="A10" s="66"/>
      <c r="B10" s="67" t="str">
        <f>IFERROR(VLOOKUP(A10,【会員】①会員マスタ!$A$4:$J$105,2,0),"")</f>
        <v/>
      </c>
      <c r="C10" s="67" t="str">
        <f>IFERROR(VLOOKUP(A10,【会員】①会員マスタ!$A$4:$J$105,6,0),"")</f>
        <v/>
      </c>
      <c r="D10" s="68" t="str">
        <f>IFERROR(VLOOKUP(A10,【会員】①会員マスタ!$A$4:$J$105,7,0),"")</f>
        <v/>
      </c>
      <c r="E10" s="69" t="str">
        <f>IFERROR(VLOOKUP(A10,【会員】①会員マスタ!$A$4:$J$105,3,0),"")</f>
        <v/>
      </c>
      <c r="F10" s="68">
        <f>IFERROR(SUMPRODUCT((ISNUMBER(SEARCH(E10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0" s="70">
        <f t="shared" si="0"/>
        <v>20000</v>
      </c>
      <c r="H10" s="71" t="str">
        <f t="shared" si="1"/>
        <v/>
      </c>
      <c r="I10" s="72" t="str">
        <f t="shared" si="2"/>
        <v/>
      </c>
      <c r="J10" s="73"/>
    </row>
    <row r="11" spans="1:10" ht="21.75" customHeight="1">
      <c r="A11" s="48"/>
      <c r="B11" s="37" t="str">
        <f>IFERROR(VLOOKUP(A11,【会員】①会員マスタ!$A$4:$J$105,2,0),"")</f>
        <v/>
      </c>
      <c r="C11" s="37" t="str">
        <f>IFERROR(VLOOKUP(A11,【会員】①会員マスタ!$A$4:$J$105,6,0),"")</f>
        <v/>
      </c>
      <c r="D11" s="39" t="str">
        <f>IFERROR(VLOOKUP(A11,【会員】①会員マスタ!$A$4:$J$105,7,0),"")</f>
        <v/>
      </c>
      <c r="E11" s="31" t="str">
        <f>IFERROR(VLOOKUP(A11,【会員】①会員マスタ!$A$4:$J$105,3,0),"")</f>
        <v/>
      </c>
      <c r="F11" s="39">
        <f>IFERROR(SUMPRODUCT((ISNUMBER(SEARCH(E11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1" s="38">
        <f t="shared" si="0"/>
        <v>20000</v>
      </c>
      <c r="H11" s="63" t="str">
        <f t="shared" si="1"/>
        <v/>
      </c>
      <c r="I11" s="64" t="str">
        <f t="shared" si="2"/>
        <v/>
      </c>
      <c r="J11" s="65"/>
    </row>
    <row r="12" spans="1:10" ht="21.75" customHeight="1">
      <c r="A12" s="66"/>
      <c r="B12" s="67" t="str">
        <f>IFERROR(VLOOKUP(A12,【会員】①会員マスタ!$A$4:$J$105,2,0),"")</f>
        <v/>
      </c>
      <c r="C12" s="67" t="str">
        <f>IFERROR(VLOOKUP(A12,【会員】①会員マスタ!$A$4:$J$105,6,0),"")</f>
        <v/>
      </c>
      <c r="D12" s="68" t="str">
        <f>IFERROR(VLOOKUP(A12,【会員】①会員マスタ!$A$4:$J$105,7,0),"")</f>
        <v/>
      </c>
      <c r="E12" s="69" t="str">
        <f>IFERROR(VLOOKUP(A12,【会員】①会員マスタ!$A$4:$J$105,3,0),"")</f>
        <v/>
      </c>
      <c r="F12" s="68">
        <f>IFERROR(SUMPRODUCT((ISNUMBER(SEARCH(E12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2" s="70">
        <f t="shared" si="0"/>
        <v>20000</v>
      </c>
      <c r="H12" s="71" t="str">
        <f t="shared" si="1"/>
        <v/>
      </c>
      <c r="I12" s="72" t="str">
        <f t="shared" si="2"/>
        <v/>
      </c>
      <c r="J12" s="73"/>
    </row>
    <row r="13" spans="1:10" ht="21.75" customHeight="1">
      <c r="A13" s="48"/>
      <c r="B13" s="37" t="str">
        <f>IFERROR(VLOOKUP(A13,【会員】①会員マスタ!$A$4:$J$105,2,0),"")</f>
        <v/>
      </c>
      <c r="C13" s="37" t="str">
        <f>IFERROR(VLOOKUP(A13,【会員】①会員マスタ!$A$4:$J$105,6,0),"")</f>
        <v/>
      </c>
      <c r="D13" s="39" t="str">
        <f>IFERROR(VLOOKUP(A13,【会員】①会員マスタ!$A$4:$J$105,7,0),"")</f>
        <v/>
      </c>
      <c r="E13" s="31" t="str">
        <f>IFERROR(VLOOKUP(A13,【会員】①会員マスタ!$A$4:$J$105,3,0),"")</f>
        <v/>
      </c>
      <c r="F13" s="39">
        <f>IFERROR(SUMPRODUCT((ISNUMBER(SEARCH(E13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3" s="38">
        <f t="shared" si="0"/>
        <v>20000</v>
      </c>
      <c r="H13" s="63" t="str">
        <f t="shared" si="1"/>
        <v/>
      </c>
      <c r="I13" s="64" t="str">
        <f t="shared" si="2"/>
        <v/>
      </c>
      <c r="J13" s="65"/>
    </row>
    <row r="14" spans="1:10" ht="21.75" customHeight="1">
      <c r="A14" s="66"/>
      <c r="B14" s="67" t="str">
        <f>IFERROR(VLOOKUP(A14,【会員】①会員マスタ!$A$4:$J$105,2,0),"")</f>
        <v/>
      </c>
      <c r="C14" s="67" t="str">
        <f>IFERROR(VLOOKUP(A14,【会員】①会員マスタ!$A$4:$J$105,6,0),"")</f>
        <v/>
      </c>
      <c r="D14" s="68" t="str">
        <f>IFERROR(VLOOKUP(A14,【会員】①会員マスタ!$A$4:$J$105,7,0),"")</f>
        <v/>
      </c>
      <c r="E14" s="69" t="str">
        <f>IFERROR(VLOOKUP(A14,【会員】①会員マスタ!$A$4:$J$105,3,0),"")</f>
        <v/>
      </c>
      <c r="F14" s="68">
        <f>IFERROR(SUMPRODUCT((ISNUMBER(SEARCH(E14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4" s="70">
        <f t="shared" si="0"/>
        <v>20000</v>
      </c>
      <c r="H14" s="71" t="str">
        <f t="shared" si="1"/>
        <v/>
      </c>
      <c r="I14" s="72" t="str">
        <f t="shared" si="2"/>
        <v/>
      </c>
      <c r="J14" s="73"/>
    </row>
    <row r="15" spans="1:10" ht="21.75" customHeight="1">
      <c r="A15" s="48"/>
      <c r="B15" s="37" t="str">
        <f>IFERROR(VLOOKUP(A15,【会員】①会員マスタ!$A$4:$J$105,2,0),"")</f>
        <v/>
      </c>
      <c r="C15" s="37" t="str">
        <f>IFERROR(VLOOKUP(A15,【会員】①会員マスタ!$A$4:$J$105,6,0),"")</f>
        <v/>
      </c>
      <c r="D15" s="39" t="str">
        <f>IFERROR(VLOOKUP(A15,【会員】①会員マスタ!$A$4:$J$105,7,0),"")</f>
        <v/>
      </c>
      <c r="E15" s="31" t="str">
        <f>IFERROR(VLOOKUP(A15,【会員】①会員マスタ!$A$4:$J$105,3,0),"")</f>
        <v/>
      </c>
      <c r="F15" s="39">
        <f>IFERROR(SUMPRODUCT((ISNUMBER(SEARCH(E15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5" s="38">
        <f t="shared" si="0"/>
        <v>20000</v>
      </c>
      <c r="H15" s="63" t="str">
        <f t="shared" si="1"/>
        <v/>
      </c>
      <c r="I15" s="64" t="str">
        <f t="shared" si="2"/>
        <v/>
      </c>
      <c r="J15" s="65"/>
    </row>
    <row r="16" spans="1:10" ht="21.75" customHeight="1">
      <c r="A16" s="66"/>
      <c r="B16" s="67" t="str">
        <f>IFERROR(VLOOKUP(A16,【会員】①会員マスタ!$A$4:$J$105,2,0),"")</f>
        <v/>
      </c>
      <c r="C16" s="67" t="str">
        <f>IFERROR(VLOOKUP(A16,【会員】①会員マスタ!$A$4:$J$105,6,0),"")</f>
        <v/>
      </c>
      <c r="D16" s="68" t="str">
        <f>IFERROR(VLOOKUP(A16,【会員】①会員マスタ!$A$4:$J$105,7,0),"")</f>
        <v/>
      </c>
      <c r="E16" s="69" t="str">
        <f>IFERROR(VLOOKUP(A16,【会員】①会員マスタ!$A$4:$J$105,3,0),"")</f>
        <v/>
      </c>
      <c r="F16" s="68">
        <f>IFERROR(SUMPRODUCT((ISNUMBER(SEARCH(E16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6" s="70">
        <f t="shared" si="0"/>
        <v>20000</v>
      </c>
      <c r="H16" s="71" t="str">
        <f t="shared" si="1"/>
        <v/>
      </c>
      <c r="I16" s="72" t="str">
        <f t="shared" si="2"/>
        <v/>
      </c>
      <c r="J16" s="73"/>
    </row>
    <row r="17" spans="1:10" ht="21.75" customHeight="1">
      <c r="A17" s="48"/>
      <c r="B17" s="37" t="str">
        <f>IFERROR(VLOOKUP(A17,【会員】①会員マスタ!$A$4:$J$105,2,0),"")</f>
        <v/>
      </c>
      <c r="C17" s="37" t="str">
        <f>IFERROR(VLOOKUP(A17,【会員】①会員マスタ!$A$4:$J$105,6,0),"")</f>
        <v/>
      </c>
      <c r="D17" s="39" t="str">
        <f>IFERROR(VLOOKUP(A17,【会員】①会員マスタ!$A$4:$J$105,7,0),"")</f>
        <v/>
      </c>
      <c r="E17" s="31" t="str">
        <f>IFERROR(VLOOKUP(A17,【会員】①会員マスタ!$A$4:$J$105,3,0),"")</f>
        <v/>
      </c>
      <c r="F17" s="39">
        <f>IFERROR(SUMPRODUCT((ISNUMBER(SEARCH(E17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7" s="38">
        <f t="shared" si="0"/>
        <v>20000</v>
      </c>
      <c r="H17" s="63" t="str">
        <f t="shared" si="1"/>
        <v/>
      </c>
      <c r="I17" s="64" t="str">
        <f t="shared" si="2"/>
        <v/>
      </c>
      <c r="J17" s="65"/>
    </row>
    <row r="18" spans="1:10" ht="21.75" customHeight="1">
      <c r="A18" s="66"/>
      <c r="B18" s="67" t="str">
        <f>IFERROR(VLOOKUP(A18,【会員】①会員マスタ!$A$4:$J$105,2,0),"")</f>
        <v/>
      </c>
      <c r="C18" s="67" t="str">
        <f>IFERROR(VLOOKUP(A18,【会員】①会員マスタ!$A$4:$J$105,6,0),"")</f>
        <v/>
      </c>
      <c r="D18" s="68" t="str">
        <f>IFERROR(VLOOKUP(A18,【会員】①会員マスタ!$A$4:$J$105,7,0),"")</f>
        <v/>
      </c>
      <c r="E18" s="69" t="str">
        <f>IFERROR(VLOOKUP(A18,【会員】①会員マスタ!$A$4:$J$105,3,0),"")</f>
        <v/>
      </c>
      <c r="F18" s="68">
        <f>IFERROR(SUMPRODUCT((ISNUMBER(SEARCH(E18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8" s="70">
        <f t="shared" si="0"/>
        <v>20000</v>
      </c>
      <c r="H18" s="71" t="str">
        <f t="shared" si="1"/>
        <v/>
      </c>
      <c r="I18" s="72" t="str">
        <f t="shared" si="2"/>
        <v/>
      </c>
      <c r="J18" s="73"/>
    </row>
    <row r="19" spans="1:10" ht="21.75" customHeight="1">
      <c r="A19" s="48"/>
      <c r="B19" s="37" t="str">
        <f>IFERROR(VLOOKUP(A19,【会員】①会員マスタ!$A$4:$J$105,2,0),"")</f>
        <v/>
      </c>
      <c r="C19" s="37" t="str">
        <f>IFERROR(VLOOKUP(A19,【会員】①会員マスタ!$A$4:$J$105,6,0),"")</f>
        <v/>
      </c>
      <c r="D19" s="39" t="str">
        <f>IFERROR(VLOOKUP(A19,【会員】①会員マスタ!$A$4:$J$105,7,0),"")</f>
        <v/>
      </c>
      <c r="E19" s="31" t="str">
        <f>IFERROR(VLOOKUP(A19,【会員】①会員マスタ!$A$4:$J$105,3,0),"")</f>
        <v/>
      </c>
      <c r="F19" s="39">
        <f>IFERROR(SUMPRODUCT((ISNUMBER(SEARCH(E19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9" s="38">
        <f t="shared" si="0"/>
        <v>20000</v>
      </c>
      <c r="H19" s="63" t="str">
        <f t="shared" si="1"/>
        <v/>
      </c>
      <c r="I19" s="64" t="str">
        <f t="shared" si="2"/>
        <v/>
      </c>
      <c r="J19" s="65"/>
    </row>
    <row r="20" spans="1:10" ht="21.75" customHeight="1">
      <c r="A20" s="66"/>
      <c r="B20" s="67" t="str">
        <f>IFERROR(VLOOKUP(A20,【会員】①会員マスタ!$A$4:$J$105,2,0),"")</f>
        <v/>
      </c>
      <c r="C20" s="67" t="str">
        <f>IFERROR(VLOOKUP(A20,【会員】①会員マスタ!$A$4:$J$105,6,0),"")</f>
        <v/>
      </c>
      <c r="D20" s="68" t="str">
        <f>IFERROR(VLOOKUP(A20,【会員】①会員マスタ!$A$4:$J$105,7,0),"")</f>
        <v/>
      </c>
      <c r="E20" s="69" t="str">
        <f>IFERROR(VLOOKUP(A20,【会員】①会員マスタ!$A$4:$J$105,3,0),"")</f>
        <v/>
      </c>
      <c r="F20" s="68">
        <f>IFERROR(SUMPRODUCT((ISNUMBER(SEARCH(E20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0" s="70">
        <f t="shared" si="0"/>
        <v>20000</v>
      </c>
      <c r="H20" s="71" t="str">
        <f t="shared" si="1"/>
        <v/>
      </c>
      <c r="I20" s="72" t="str">
        <f t="shared" si="2"/>
        <v/>
      </c>
      <c r="J20" s="73"/>
    </row>
    <row r="21" spans="1:10" ht="21.75" customHeight="1">
      <c r="A21" s="48"/>
      <c r="B21" s="37" t="str">
        <f>IFERROR(VLOOKUP(A21,【会員】①会員マスタ!$A$4:$J$105,2,0),"")</f>
        <v/>
      </c>
      <c r="C21" s="37" t="str">
        <f>IFERROR(VLOOKUP(A21,【会員】①会員マスタ!$A$4:$J$105,6,0),"")</f>
        <v/>
      </c>
      <c r="D21" s="39" t="str">
        <f>IFERROR(VLOOKUP(A21,【会員】①会員マスタ!$A$4:$J$105,7,0),"")</f>
        <v/>
      </c>
      <c r="E21" s="31" t="str">
        <f>IFERROR(VLOOKUP(A21,【会員】①会員マスタ!$A$4:$J$105,3,0),"")</f>
        <v/>
      </c>
      <c r="F21" s="39">
        <f>IFERROR(SUMPRODUCT((ISNUMBER(SEARCH(E21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1" s="38">
        <f t="shared" si="0"/>
        <v>20000</v>
      </c>
      <c r="H21" s="63" t="str">
        <f t="shared" si="1"/>
        <v/>
      </c>
      <c r="I21" s="64" t="str">
        <f t="shared" si="2"/>
        <v/>
      </c>
      <c r="J21" s="65"/>
    </row>
    <row r="22" spans="1:10" ht="21.75" customHeight="1">
      <c r="A22" s="66"/>
      <c r="B22" s="67" t="str">
        <f>IFERROR(VLOOKUP(A22,【会員】①会員マスタ!$A$4:$J$105,2,0),"")</f>
        <v/>
      </c>
      <c r="C22" s="67" t="str">
        <f>IFERROR(VLOOKUP(A22,【会員】①会員マスタ!$A$4:$J$105,6,0),"")</f>
        <v/>
      </c>
      <c r="D22" s="68" t="str">
        <f>IFERROR(VLOOKUP(A22,【会員】①会員マスタ!$A$4:$J$105,7,0),"")</f>
        <v/>
      </c>
      <c r="E22" s="69" t="str">
        <f>IFERROR(VLOOKUP(A22,【会員】①会員マスタ!$A$4:$J$105,3,0),"")</f>
        <v/>
      </c>
      <c r="F22" s="68">
        <f>IFERROR(SUMPRODUCT((ISNUMBER(SEARCH(E22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2" s="70">
        <f t="shared" si="0"/>
        <v>20000</v>
      </c>
      <c r="H22" s="71" t="str">
        <f t="shared" si="1"/>
        <v/>
      </c>
      <c r="I22" s="72" t="str">
        <f t="shared" si="2"/>
        <v/>
      </c>
      <c r="J22" s="73"/>
    </row>
    <row r="23" spans="1:10" ht="21.75" customHeight="1">
      <c r="A23" s="48"/>
      <c r="B23" s="37" t="str">
        <f>IFERROR(VLOOKUP(A23,【会員】①会員マスタ!$A$4:$J$105,2,0),"")</f>
        <v/>
      </c>
      <c r="C23" s="37" t="str">
        <f>IFERROR(VLOOKUP(A23,【会員】①会員マスタ!$A$4:$J$105,6,0),"")</f>
        <v/>
      </c>
      <c r="D23" s="39" t="str">
        <f>IFERROR(VLOOKUP(A23,【会員】①会員マスタ!$A$4:$J$105,7,0),"")</f>
        <v/>
      </c>
      <c r="E23" s="31" t="str">
        <f>IFERROR(VLOOKUP(A23,【会員】①会員マスタ!$A$4:$J$105,3,0),"")</f>
        <v/>
      </c>
      <c r="F23" s="39">
        <f>IFERROR(SUMPRODUCT((ISNUMBER(SEARCH(E23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3" s="38">
        <f t="shared" si="0"/>
        <v>20000</v>
      </c>
      <c r="H23" s="63" t="str">
        <f t="shared" si="1"/>
        <v/>
      </c>
      <c r="I23" s="64" t="str">
        <f t="shared" si="2"/>
        <v/>
      </c>
      <c r="J23" s="65"/>
    </row>
    <row r="24" spans="1:10" ht="21.75" customHeight="1">
      <c r="A24" s="66"/>
      <c r="B24" s="67" t="str">
        <f>IFERROR(VLOOKUP(A24,【会員】①会員マスタ!$A$4:$J$105,2,0),"")</f>
        <v/>
      </c>
      <c r="C24" s="67" t="str">
        <f>IFERROR(VLOOKUP(A24,【会員】①会員マスタ!$A$4:$J$105,6,0),"")</f>
        <v/>
      </c>
      <c r="D24" s="68" t="str">
        <f>IFERROR(VLOOKUP(A24,【会員】①会員マスタ!$A$4:$J$105,7,0),"")</f>
        <v/>
      </c>
      <c r="E24" s="69" t="str">
        <f>IFERROR(VLOOKUP(A24,【会員】①会員マスタ!$A$4:$J$105,3,0),"")</f>
        <v/>
      </c>
      <c r="F24" s="68">
        <f>IFERROR(SUMPRODUCT((ISNUMBER(SEARCH(E24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4" s="70">
        <f t="shared" si="0"/>
        <v>20000</v>
      </c>
      <c r="H24" s="71" t="str">
        <f t="shared" si="1"/>
        <v/>
      </c>
      <c r="I24" s="72" t="str">
        <f t="shared" si="2"/>
        <v/>
      </c>
      <c r="J24" s="73"/>
    </row>
    <row r="25" spans="1:10" ht="21.75" customHeight="1">
      <c r="A25" s="48"/>
      <c r="B25" s="37" t="str">
        <f>IFERROR(VLOOKUP(A25,【会員】①会員マスタ!$A$4:$J$105,2,0),"")</f>
        <v/>
      </c>
      <c r="C25" s="37" t="str">
        <f>IFERROR(VLOOKUP(A25,【会員】①会員マスタ!$A$4:$J$105,6,0),"")</f>
        <v/>
      </c>
      <c r="D25" s="39" t="str">
        <f>IFERROR(VLOOKUP(A25,【会員】①会員マスタ!$A$4:$J$105,7,0),"")</f>
        <v/>
      </c>
      <c r="E25" s="31" t="str">
        <f>IFERROR(VLOOKUP(A25,【会員】①会員マスタ!$A$4:$J$105,3,0),"")</f>
        <v/>
      </c>
      <c r="F25" s="39">
        <f>IFERROR(SUMPRODUCT((ISNUMBER(SEARCH(E25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5" s="38">
        <f t="shared" si="0"/>
        <v>20000</v>
      </c>
      <c r="H25" s="63" t="str">
        <f t="shared" si="1"/>
        <v/>
      </c>
      <c r="I25" s="64" t="str">
        <f t="shared" si="2"/>
        <v/>
      </c>
      <c r="J25" s="65"/>
    </row>
    <row r="26" spans="1:10" ht="21.75" customHeight="1">
      <c r="A26" s="66"/>
      <c r="B26" s="67" t="str">
        <f>IFERROR(VLOOKUP(A26,【会員】①会員マスタ!$A$4:$J$105,2,0),"")</f>
        <v/>
      </c>
      <c r="C26" s="67" t="str">
        <f>IFERROR(VLOOKUP(A26,【会員】①会員マスタ!$A$4:$J$105,6,0),"")</f>
        <v/>
      </c>
      <c r="D26" s="68" t="str">
        <f>IFERROR(VLOOKUP(A26,【会員】①会員マスタ!$A$4:$J$105,7,0),"")</f>
        <v/>
      </c>
      <c r="E26" s="69" t="str">
        <f>IFERROR(VLOOKUP(A26,【会員】①会員マスタ!$A$4:$J$105,3,0),"")</f>
        <v/>
      </c>
      <c r="F26" s="68">
        <f>IFERROR(SUMPRODUCT((ISNUMBER(SEARCH(E26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6" s="70">
        <f t="shared" si="0"/>
        <v>20000</v>
      </c>
      <c r="H26" s="71" t="str">
        <f t="shared" si="1"/>
        <v/>
      </c>
      <c r="I26" s="72" t="str">
        <f t="shared" si="2"/>
        <v/>
      </c>
      <c r="J26" s="73"/>
    </row>
    <row r="27" spans="1:10" ht="21.75" customHeight="1">
      <c r="A27" s="48"/>
      <c r="B27" s="37" t="str">
        <f>IFERROR(VLOOKUP(A27,【会員】①会員マスタ!$A$4:$J$105,2,0),"")</f>
        <v/>
      </c>
      <c r="C27" s="37" t="str">
        <f>IFERROR(VLOOKUP(A27,【会員】①会員マスタ!$A$4:$J$105,6,0),"")</f>
        <v/>
      </c>
      <c r="D27" s="39" t="str">
        <f>IFERROR(VLOOKUP(A27,【会員】①会員マスタ!$A$4:$J$105,7,0),"")</f>
        <v/>
      </c>
      <c r="E27" s="31" t="str">
        <f>IFERROR(VLOOKUP(A27,【会員】①会員マスタ!$A$4:$J$105,3,0),"")</f>
        <v/>
      </c>
      <c r="F27" s="39">
        <f>IFERROR(SUMPRODUCT((ISNUMBER(SEARCH(E27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7" s="38">
        <f t="shared" si="0"/>
        <v>20000</v>
      </c>
      <c r="H27" s="63" t="str">
        <f t="shared" si="1"/>
        <v/>
      </c>
      <c r="I27" s="64" t="str">
        <f t="shared" si="2"/>
        <v/>
      </c>
      <c r="J27" s="65"/>
    </row>
    <row r="28" spans="1:10" ht="21.75" customHeight="1">
      <c r="A28" s="66"/>
      <c r="B28" s="67" t="str">
        <f>IFERROR(VLOOKUP(A28,【会員】①会員マスタ!$A$4:$J$105,2,0),"")</f>
        <v/>
      </c>
      <c r="C28" s="67" t="str">
        <f>IFERROR(VLOOKUP(A28,【会員】①会員マスタ!$A$4:$J$105,6,0),"")</f>
        <v/>
      </c>
      <c r="D28" s="68" t="str">
        <f>IFERROR(VLOOKUP(A28,【会員】①会員マスタ!$A$4:$J$105,7,0),"")</f>
        <v/>
      </c>
      <c r="E28" s="69" t="str">
        <f>IFERROR(VLOOKUP(A28,【会員】①会員マスタ!$A$4:$J$105,3,0),"")</f>
        <v/>
      </c>
      <c r="F28" s="68">
        <f>IFERROR(SUMPRODUCT((ISNUMBER(SEARCH(E28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8" s="70">
        <f t="shared" si="0"/>
        <v>20000</v>
      </c>
      <c r="H28" s="71" t="str">
        <f t="shared" si="1"/>
        <v/>
      </c>
      <c r="I28" s="72" t="str">
        <f t="shared" si="2"/>
        <v/>
      </c>
      <c r="J28" s="73"/>
    </row>
    <row r="29" spans="1:10" ht="21.75" customHeight="1">
      <c r="A29" s="48"/>
      <c r="B29" s="37" t="str">
        <f>IFERROR(VLOOKUP(A29,【会員】①会員マスタ!$A$4:$J$105,2,0),"")</f>
        <v/>
      </c>
      <c r="C29" s="37" t="str">
        <f>IFERROR(VLOOKUP(A29,【会員】①会員マスタ!$A$4:$J$105,6,0),"")</f>
        <v/>
      </c>
      <c r="D29" s="39" t="str">
        <f>IFERROR(VLOOKUP(A29,【会員】①会員マスタ!$A$4:$J$105,7,0),"")</f>
        <v/>
      </c>
      <c r="E29" s="31" t="str">
        <f>IFERROR(VLOOKUP(A29,【会員】①会員マスタ!$A$4:$J$105,3,0),"")</f>
        <v/>
      </c>
      <c r="F29" s="39">
        <f>IFERROR(SUMPRODUCT((ISNUMBER(SEARCH(E29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29" s="38">
        <f t="shared" si="0"/>
        <v>20000</v>
      </c>
      <c r="H29" s="63" t="str">
        <f t="shared" si="1"/>
        <v/>
      </c>
      <c r="I29" s="64" t="str">
        <f t="shared" si="2"/>
        <v/>
      </c>
      <c r="J29" s="65"/>
    </row>
    <row r="30" spans="1:10" ht="21.75" customHeight="1">
      <c r="A30" s="66"/>
      <c r="B30" s="67" t="str">
        <f>IFERROR(VLOOKUP(A30,【会員】①会員マスタ!$A$4:$J$105,2,0),"")</f>
        <v/>
      </c>
      <c r="C30" s="67" t="str">
        <f>IFERROR(VLOOKUP(A30,【会員】①会員マスタ!$A$4:$J$105,6,0),"")</f>
        <v/>
      </c>
      <c r="D30" s="68" t="str">
        <f>IFERROR(VLOOKUP(A30,【会員】①会員マスタ!$A$4:$J$105,7,0),"")</f>
        <v/>
      </c>
      <c r="E30" s="69" t="str">
        <f>IFERROR(VLOOKUP(A30,【会員】①会員マスタ!$A$4:$J$105,3,0),"")</f>
        <v/>
      </c>
      <c r="F30" s="68">
        <f>IFERROR(SUMPRODUCT((ISNUMBER(SEARCH(E30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0" s="70">
        <f t="shared" si="0"/>
        <v>20000</v>
      </c>
      <c r="H30" s="71" t="str">
        <f t="shared" si="1"/>
        <v/>
      </c>
      <c r="I30" s="72" t="str">
        <f t="shared" si="2"/>
        <v/>
      </c>
      <c r="J30" s="73"/>
    </row>
    <row r="31" spans="1:10" ht="21.75" customHeight="1">
      <c r="A31" s="48"/>
      <c r="B31" s="37" t="str">
        <f>IFERROR(VLOOKUP(A31,【会員】①会員マスタ!$A$4:$J$105,2,0),"")</f>
        <v/>
      </c>
      <c r="C31" s="37" t="str">
        <f>IFERROR(VLOOKUP(A31,【会員】①会員マスタ!$A$4:$J$105,6,0),"")</f>
        <v/>
      </c>
      <c r="D31" s="39" t="str">
        <f>IFERROR(VLOOKUP(A31,【会員】①会員マスタ!$A$4:$J$105,7,0),"")</f>
        <v/>
      </c>
      <c r="E31" s="31" t="str">
        <f>IFERROR(VLOOKUP(A31,【会員】①会員マスタ!$A$4:$J$105,3,0),"")</f>
        <v/>
      </c>
      <c r="F31" s="39">
        <f>IFERROR(SUMPRODUCT((ISNUMBER(SEARCH(E31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1" s="38">
        <f t="shared" si="0"/>
        <v>20000</v>
      </c>
      <c r="H31" s="63" t="str">
        <f t="shared" si="1"/>
        <v/>
      </c>
      <c r="I31" s="64" t="str">
        <f t="shared" si="2"/>
        <v/>
      </c>
      <c r="J31" s="65"/>
    </row>
    <row r="32" spans="1:10" ht="21.75" customHeight="1">
      <c r="A32" s="66"/>
      <c r="B32" s="67" t="str">
        <f>IFERROR(VLOOKUP(A32,【会員】①会員マスタ!$A$4:$J$105,2,0),"")</f>
        <v/>
      </c>
      <c r="C32" s="67" t="str">
        <f>IFERROR(VLOOKUP(A32,【会員】①会員マスタ!$A$4:$J$105,6,0),"")</f>
        <v/>
      </c>
      <c r="D32" s="68" t="str">
        <f>IFERROR(VLOOKUP(A32,【会員】①会員マスタ!$A$4:$J$105,7,0),"")</f>
        <v/>
      </c>
      <c r="E32" s="69" t="str">
        <f>IFERROR(VLOOKUP(A32,【会員】①会員マスタ!$A$4:$J$105,3,0),"")</f>
        <v/>
      </c>
      <c r="F32" s="68">
        <f>IFERROR(SUMPRODUCT((ISNUMBER(SEARCH(E32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2" s="70">
        <f t="shared" si="0"/>
        <v>20000</v>
      </c>
      <c r="H32" s="71" t="str">
        <f t="shared" si="1"/>
        <v/>
      </c>
      <c r="I32" s="72" t="str">
        <f t="shared" si="2"/>
        <v/>
      </c>
      <c r="J32" s="73"/>
    </row>
    <row r="33" spans="1:10" ht="21.75" customHeight="1">
      <c r="A33" s="48"/>
      <c r="B33" s="37" t="str">
        <f>IFERROR(VLOOKUP(A33,【会員】①会員マスタ!$A$4:$J$105,2,0),"")</f>
        <v/>
      </c>
      <c r="C33" s="37" t="str">
        <f>IFERROR(VLOOKUP(A33,【会員】①会員マスタ!$A$4:$J$105,6,0),"")</f>
        <v/>
      </c>
      <c r="D33" s="39" t="str">
        <f>IFERROR(VLOOKUP(A33,【会員】①会員マスタ!$A$4:$J$105,7,0),"")</f>
        <v/>
      </c>
      <c r="E33" s="31" t="str">
        <f>IFERROR(VLOOKUP(A33,【会員】①会員マスタ!$A$4:$J$105,3,0),"")</f>
        <v/>
      </c>
      <c r="F33" s="39">
        <f>IFERROR(SUMPRODUCT((ISNUMBER(SEARCH(E33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3" s="38">
        <f t="shared" si="0"/>
        <v>20000</v>
      </c>
      <c r="H33" s="63" t="str">
        <f t="shared" si="1"/>
        <v/>
      </c>
      <c r="I33" s="64" t="str">
        <f t="shared" si="2"/>
        <v/>
      </c>
      <c r="J33" s="65"/>
    </row>
    <row r="34" spans="1:10" ht="21.75" customHeight="1">
      <c r="A34" s="66"/>
      <c r="B34" s="67" t="str">
        <f>IFERROR(VLOOKUP(A34,【会員】①会員マスタ!$A$4:$J$105,2,0),"")</f>
        <v/>
      </c>
      <c r="C34" s="67" t="str">
        <f>IFERROR(VLOOKUP(A34,【会員】①会員マスタ!$A$4:$J$105,6,0),"")</f>
        <v/>
      </c>
      <c r="D34" s="68" t="str">
        <f>IFERROR(VLOOKUP(A34,【会員】①会員マスタ!$A$4:$J$105,7,0),"")</f>
        <v/>
      </c>
      <c r="E34" s="69" t="str">
        <f>IFERROR(VLOOKUP(A34,【会員】①会員マスタ!$A$4:$J$105,3,0),"")</f>
        <v/>
      </c>
      <c r="F34" s="68">
        <f>IFERROR(SUMPRODUCT((ISNUMBER(SEARCH(E34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4" s="70">
        <f t="shared" si="0"/>
        <v>20000</v>
      </c>
      <c r="H34" s="71" t="str">
        <f t="shared" si="1"/>
        <v/>
      </c>
      <c r="I34" s="72" t="str">
        <f t="shared" si="2"/>
        <v/>
      </c>
      <c r="J34" s="73"/>
    </row>
    <row r="35" spans="1:10" ht="21.75" customHeight="1">
      <c r="A35" s="48"/>
      <c r="B35" s="37" t="str">
        <f>IFERROR(VLOOKUP(A35,【会員】①会員マスタ!$A$4:$J$105,2,0),"")</f>
        <v/>
      </c>
      <c r="C35" s="37" t="str">
        <f>IFERROR(VLOOKUP(A35,【会員】①会員マスタ!$A$4:$J$105,6,0),"")</f>
        <v/>
      </c>
      <c r="D35" s="39" t="str">
        <f>IFERROR(VLOOKUP(A35,【会員】①会員マスタ!$A$4:$J$105,7,0),"")</f>
        <v/>
      </c>
      <c r="E35" s="31" t="str">
        <f>IFERROR(VLOOKUP(A35,【会員】①会員マスタ!$A$4:$J$105,3,0),"")</f>
        <v/>
      </c>
      <c r="F35" s="39">
        <f>IFERROR(SUMPRODUCT((ISNUMBER(SEARCH(E35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5" s="38">
        <f t="shared" si="0"/>
        <v>20000</v>
      </c>
      <c r="H35" s="63" t="str">
        <f t="shared" si="1"/>
        <v/>
      </c>
      <c r="I35" s="64" t="str">
        <f t="shared" si="2"/>
        <v/>
      </c>
      <c r="J35" s="65"/>
    </row>
    <row r="36" spans="1:10" ht="21.75" customHeight="1">
      <c r="A36" s="66"/>
      <c r="B36" s="67" t="str">
        <f>IFERROR(VLOOKUP(A36,【会員】①会員マスタ!$A$4:$J$105,2,0),"")</f>
        <v/>
      </c>
      <c r="C36" s="67" t="str">
        <f>IFERROR(VLOOKUP(A36,【会員】①会員マスタ!$A$4:$J$105,6,0),"")</f>
        <v/>
      </c>
      <c r="D36" s="68" t="str">
        <f>IFERROR(VLOOKUP(A36,【会員】①会員マスタ!$A$4:$J$105,7,0),"")</f>
        <v/>
      </c>
      <c r="E36" s="69" t="str">
        <f>IFERROR(VLOOKUP(A36,【会員】①会員マスタ!$A$4:$J$105,3,0),"")</f>
        <v/>
      </c>
      <c r="F36" s="68">
        <f>IFERROR(SUMPRODUCT((ISNUMBER(SEARCH(E36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6" s="70">
        <f t="shared" si="0"/>
        <v>20000</v>
      </c>
      <c r="H36" s="71" t="str">
        <f t="shared" si="1"/>
        <v/>
      </c>
      <c r="I36" s="72" t="str">
        <f t="shared" si="2"/>
        <v/>
      </c>
      <c r="J36" s="73"/>
    </row>
    <row r="37" spans="1:10" ht="21.75" customHeight="1">
      <c r="A37" s="48"/>
      <c r="B37" s="37" t="str">
        <f>IFERROR(VLOOKUP(A37,【会員】①会員マスタ!$A$4:$J$105,2,0),"")</f>
        <v/>
      </c>
      <c r="C37" s="37" t="str">
        <f>IFERROR(VLOOKUP(A37,【会員】①会員マスタ!$A$4:$J$105,6,0),"")</f>
        <v/>
      </c>
      <c r="D37" s="39" t="str">
        <f>IFERROR(VLOOKUP(A37,【会員】①会員マスタ!$A$4:$J$105,7,0),"")</f>
        <v/>
      </c>
      <c r="E37" s="31" t="str">
        <f>IFERROR(VLOOKUP(A37,【会員】①会員マスタ!$A$4:$J$105,3,0),"")</f>
        <v/>
      </c>
      <c r="F37" s="39">
        <f>IFERROR(SUMPRODUCT((ISNUMBER(SEARCH(E37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7" s="38">
        <f t="shared" ref="G37:G68" si="3">IFERROR(F37,"")</f>
        <v>20000</v>
      </c>
      <c r="H37" s="63" t="str">
        <f t="shared" ref="H37:H68" si="4">IFERROR(IF(AND(D37&lt;&gt;"",G37&lt;&gt;""),D37-G37,""),"")</f>
        <v/>
      </c>
      <c r="I37" s="64" t="str">
        <f t="shared" ref="I37:I68" si="5">IF(A37="","",IF(G37="","未入金",IF(H37=0,"入金済",IF(H37&gt;0,"一部入金","要確認"))))</f>
        <v/>
      </c>
      <c r="J37" s="65"/>
    </row>
    <row r="38" spans="1:10" ht="21.75" customHeight="1">
      <c r="A38" s="66"/>
      <c r="B38" s="67" t="str">
        <f>IFERROR(VLOOKUP(A38,【会員】①会員マスタ!$A$4:$J$105,2,0),"")</f>
        <v/>
      </c>
      <c r="C38" s="67" t="str">
        <f>IFERROR(VLOOKUP(A38,【会員】①会員マスタ!$A$4:$J$105,6,0),"")</f>
        <v/>
      </c>
      <c r="D38" s="68" t="str">
        <f>IFERROR(VLOOKUP(A38,【会員】①会員マスタ!$A$4:$J$105,7,0),"")</f>
        <v/>
      </c>
      <c r="E38" s="69" t="str">
        <f>IFERROR(VLOOKUP(A38,【会員】①会員マスタ!$A$4:$J$105,3,0),"")</f>
        <v/>
      </c>
      <c r="F38" s="68">
        <f>IFERROR(SUMPRODUCT((ISNUMBER(SEARCH(E38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8" s="70">
        <f t="shared" si="3"/>
        <v>20000</v>
      </c>
      <c r="H38" s="71" t="str">
        <f t="shared" si="4"/>
        <v/>
      </c>
      <c r="I38" s="72" t="str">
        <f t="shared" si="5"/>
        <v/>
      </c>
      <c r="J38" s="73"/>
    </row>
    <row r="39" spans="1:10" ht="21.75" customHeight="1">
      <c r="A39" s="48"/>
      <c r="B39" s="37" t="str">
        <f>IFERROR(VLOOKUP(A39,【会員】①会員マスタ!$A$4:$J$105,2,0),"")</f>
        <v/>
      </c>
      <c r="C39" s="37" t="str">
        <f>IFERROR(VLOOKUP(A39,【会員】①会員マスタ!$A$4:$J$105,6,0),"")</f>
        <v/>
      </c>
      <c r="D39" s="39" t="str">
        <f>IFERROR(VLOOKUP(A39,【会員】①会員マスタ!$A$4:$J$105,7,0),"")</f>
        <v/>
      </c>
      <c r="E39" s="31" t="str">
        <f>IFERROR(VLOOKUP(A39,【会員】①会員マスタ!$A$4:$J$105,3,0),"")</f>
        <v/>
      </c>
      <c r="F39" s="39">
        <f>IFERROR(SUMPRODUCT((ISNUMBER(SEARCH(E39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39" s="38">
        <f t="shared" si="3"/>
        <v>20000</v>
      </c>
      <c r="H39" s="63" t="str">
        <f t="shared" si="4"/>
        <v/>
      </c>
      <c r="I39" s="64" t="str">
        <f t="shared" si="5"/>
        <v/>
      </c>
      <c r="J39" s="65"/>
    </row>
    <row r="40" spans="1:10" ht="21.75" customHeight="1">
      <c r="A40" s="66"/>
      <c r="B40" s="67" t="str">
        <f>IFERROR(VLOOKUP(A40,【会員】①会員マスタ!$A$4:$J$105,2,0),"")</f>
        <v/>
      </c>
      <c r="C40" s="67" t="str">
        <f>IFERROR(VLOOKUP(A40,【会員】①会員マスタ!$A$4:$J$105,6,0),"")</f>
        <v/>
      </c>
      <c r="D40" s="68" t="str">
        <f>IFERROR(VLOOKUP(A40,【会員】①会員マスタ!$A$4:$J$105,7,0),"")</f>
        <v/>
      </c>
      <c r="E40" s="69" t="str">
        <f>IFERROR(VLOOKUP(A40,【会員】①会員マスタ!$A$4:$J$105,3,0),"")</f>
        <v/>
      </c>
      <c r="F40" s="68">
        <f>IFERROR(SUMPRODUCT((ISNUMBER(SEARCH(E40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0" s="70">
        <f t="shared" si="3"/>
        <v>20000</v>
      </c>
      <c r="H40" s="71" t="str">
        <f t="shared" si="4"/>
        <v/>
      </c>
      <c r="I40" s="72" t="str">
        <f t="shared" si="5"/>
        <v/>
      </c>
      <c r="J40" s="73"/>
    </row>
    <row r="41" spans="1:10" ht="21.75" customHeight="1">
      <c r="A41" s="48"/>
      <c r="B41" s="37" t="str">
        <f>IFERROR(VLOOKUP(A41,【会員】①会員マスタ!$A$4:$J$105,2,0),"")</f>
        <v/>
      </c>
      <c r="C41" s="37" t="str">
        <f>IFERROR(VLOOKUP(A41,【会員】①会員マスタ!$A$4:$J$105,6,0),"")</f>
        <v/>
      </c>
      <c r="D41" s="39" t="str">
        <f>IFERROR(VLOOKUP(A41,【会員】①会員マスタ!$A$4:$J$105,7,0),"")</f>
        <v/>
      </c>
      <c r="E41" s="31" t="str">
        <f>IFERROR(VLOOKUP(A41,【会員】①会員マスタ!$A$4:$J$105,3,0),"")</f>
        <v/>
      </c>
      <c r="F41" s="39">
        <f>IFERROR(SUMPRODUCT((ISNUMBER(SEARCH(E41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1" s="38">
        <f t="shared" si="3"/>
        <v>20000</v>
      </c>
      <c r="H41" s="63" t="str">
        <f t="shared" si="4"/>
        <v/>
      </c>
      <c r="I41" s="64" t="str">
        <f t="shared" si="5"/>
        <v/>
      </c>
      <c r="J41" s="65"/>
    </row>
    <row r="42" spans="1:10" ht="21.75" customHeight="1">
      <c r="A42" s="66"/>
      <c r="B42" s="67" t="str">
        <f>IFERROR(VLOOKUP(A42,【会員】①会員マスタ!$A$4:$J$105,2,0),"")</f>
        <v/>
      </c>
      <c r="C42" s="67" t="str">
        <f>IFERROR(VLOOKUP(A42,【会員】①会員マスタ!$A$4:$J$105,6,0),"")</f>
        <v/>
      </c>
      <c r="D42" s="68" t="str">
        <f>IFERROR(VLOOKUP(A42,【会員】①会員マスタ!$A$4:$J$105,7,0),"")</f>
        <v/>
      </c>
      <c r="E42" s="69" t="str">
        <f>IFERROR(VLOOKUP(A42,【会員】①会員マスタ!$A$4:$J$105,3,0),"")</f>
        <v/>
      </c>
      <c r="F42" s="68">
        <f>IFERROR(SUMPRODUCT((ISNUMBER(SEARCH(E42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2" s="70">
        <f t="shared" si="3"/>
        <v>20000</v>
      </c>
      <c r="H42" s="71" t="str">
        <f t="shared" si="4"/>
        <v/>
      </c>
      <c r="I42" s="72" t="str">
        <f t="shared" si="5"/>
        <v/>
      </c>
      <c r="J42" s="73"/>
    </row>
    <row r="43" spans="1:10" ht="21.75" customHeight="1">
      <c r="A43" s="48"/>
      <c r="B43" s="37" t="str">
        <f>IFERROR(VLOOKUP(A43,【会員】①会員マスタ!$A$4:$J$105,2,0),"")</f>
        <v/>
      </c>
      <c r="C43" s="37" t="str">
        <f>IFERROR(VLOOKUP(A43,【会員】①会員マスタ!$A$4:$J$105,6,0),"")</f>
        <v/>
      </c>
      <c r="D43" s="39" t="str">
        <f>IFERROR(VLOOKUP(A43,【会員】①会員マスタ!$A$4:$J$105,7,0),"")</f>
        <v/>
      </c>
      <c r="E43" s="31" t="str">
        <f>IFERROR(VLOOKUP(A43,【会員】①会員マスタ!$A$4:$J$105,3,0),"")</f>
        <v/>
      </c>
      <c r="F43" s="39">
        <f>IFERROR(SUMPRODUCT((ISNUMBER(SEARCH(E43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3" s="38">
        <f t="shared" si="3"/>
        <v>20000</v>
      </c>
      <c r="H43" s="63" t="str">
        <f t="shared" si="4"/>
        <v/>
      </c>
      <c r="I43" s="64" t="str">
        <f t="shared" si="5"/>
        <v/>
      </c>
      <c r="J43" s="65"/>
    </row>
    <row r="44" spans="1:10" ht="21.75" customHeight="1">
      <c r="A44" s="66"/>
      <c r="B44" s="67" t="str">
        <f>IFERROR(VLOOKUP(A44,【会員】①会員マスタ!$A$4:$J$105,2,0),"")</f>
        <v/>
      </c>
      <c r="C44" s="67" t="str">
        <f>IFERROR(VLOOKUP(A44,【会員】①会員マスタ!$A$4:$J$105,6,0),"")</f>
        <v/>
      </c>
      <c r="D44" s="68" t="str">
        <f>IFERROR(VLOOKUP(A44,【会員】①会員マスタ!$A$4:$J$105,7,0),"")</f>
        <v/>
      </c>
      <c r="E44" s="69" t="str">
        <f>IFERROR(VLOOKUP(A44,【会員】①会員マスタ!$A$4:$J$105,3,0),"")</f>
        <v/>
      </c>
      <c r="F44" s="68">
        <f>IFERROR(SUMPRODUCT((ISNUMBER(SEARCH(E44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4" s="70">
        <f t="shared" si="3"/>
        <v>20000</v>
      </c>
      <c r="H44" s="71" t="str">
        <f t="shared" si="4"/>
        <v/>
      </c>
      <c r="I44" s="72" t="str">
        <f t="shared" si="5"/>
        <v/>
      </c>
      <c r="J44" s="73"/>
    </row>
    <row r="45" spans="1:10" ht="21.75" customHeight="1">
      <c r="A45" s="48"/>
      <c r="B45" s="37" t="str">
        <f>IFERROR(VLOOKUP(A45,【会員】①会員マスタ!$A$4:$J$105,2,0),"")</f>
        <v/>
      </c>
      <c r="C45" s="37" t="str">
        <f>IFERROR(VLOOKUP(A45,【会員】①会員マスタ!$A$4:$J$105,6,0),"")</f>
        <v/>
      </c>
      <c r="D45" s="39" t="str">
        <f>IFERROR(VLOOKUP(A45,【会員】①会員マスタ!$A$4:$J$105,7,0),"")</f>
        <v/>
      </c>
      <c r="E45" s="31" t="str">
        <f>IFERROR(VLOOKUP(A45,【会員】①会員マスタ!$A$4:$J$105,3,0),"")</f>
        <v/>
      </c>
      <c r="F45" s="39">
        <f>IFERROR(SUMPRODUCT((ISNUMBER(SEARCH(E45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5" s="38">
        <f t="shared" si="3"/>
        <v>20000</v>
      </c>
      <c r="H45" s="63" t="str">
        <f t="shared" si="4"/>
        <v/>
      </c>
      <c r="I45" s="64" t="str">
        <f t="shared" si="5"/>
        <v/>
      </c>
      <c r="J45" s="65"/>
    </row>
    <row r="46" spans="1:10" ht="21.75" customHeight="1">
      <c r="A46" s="66"/>
      <c r="B46" s="67" t="str">
        <f>IFERROR(VLOOKUP(A46,【会員】①会員マスタ!$A$4:$J$105,2,0),"")</f>
        <v/>
      </c>
      <c r="C46" s="67" t="str">
        <f>IFERROR(VLOOKUP(A46,【会員】①会員マスタ!$A$4:$J$105,6,0),"")</f>
        <v/>
      </c>
      <c r="D46" s="68" t="str">
        <f>IFERROR(VLOOKUP(A46,【会員】①会員マスタ!$A$4:$J$105,7,0),"")</f>
        <v/>
      </c>
      <c r="E46" s="69" t="str">
        <f>IFERROR(VLOOKUP(A46,【会員】①会員マスタ!$A$4:$J$105,3,0),"")</f>
        <v/>
      </c>
      <c r="F46" s="68">
        <f>IFERROR(SUMPRODUCT((ISNUMBER(SEARCH(E46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6" s="70">
        <f t="shared" si="3"/>
        <v>20000</v>
      </c>
      <c r="H46" s="71" t="str">
        <f t="shared" si="4"/>
        <v/>
      </c>
      <c r="I46" s="72" t="str">
        <f t="shared" si="5"/>
        <v/>
      </c>
      <c r="J46" s="73"/>
    </row>
    <row r="47" spans="1:10" ht="21.75" customHeight="1">
      <c r="A47" s="48"/>
      <c r="B47" s="37" t="str">
        <f>IFERROR(VLOOKUP(A47,【会員】①会員マスタ!$A$4:$J$105,2,0),"")</f>
        <v/>
      </c>
      <c r="C47" s="37" t="str">
        <f>IFERROR(VLOOKUP(A47,【会員】①会員マスタ!$A$4:$J$105,6,0),"")</f>
        <v/>
      </c>
      <c r="D47" s="39" t="str">
        <f>IFERROR(VLOOKUP(A47,【会員】①会員マスタ!$A$4:$J$105,7,0),"")</f>
        <v/>
      </c>
      <c r="E47" s="31" t="str">
        <f>IFERROR(VLOOKUP(A47,【会員】①会員マスタ!$A$4:$J$105,3,0),"")</f>
        <v/>
      </c>
      <c r="F47" s="39">
        <f>IFERROR(SUMPRODUCT((ISNUMBER(SEARCH(E47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7" s="38">
        <f t="shared" si="3"/>
        <v>20000</v>
      </c>
      <c r="H47" s="63" t="str">
        <f t="shared" si="4"/>
        <v/>
      </c>
      <c r="I47" s="64" t="str">
        <f t="shared" si="5"/>
        <v/>
      </c>
      <c r="J47" s="65"/>
    </row>
    <row r="48" spans="1:10" ht="21.75" customHeight="1">
      <c r="A48" s="66"/>
      <c r="B48" s="67" t="str">
        <f>IFERROR(VLOOKUP(A48,【会員】①会員マスタ!$A$4:$J$105,2,0),"")</f>
        <v/>
      </c>
      <c r="C48" s="67" t="str">
        <f>IFERROR(VLOOKUP(A48,【会員】①会員マスタ!$A$4:$J$105,6,0),"")</f>
        <v/>
      </c>
      <c r="D48" s="68" t="str">
        <f>IFERROR(VLOOKUP(A48,【会員】①会員マスタ!$A$4:$J$105,7,0),"")</f>
        <v/>
      </c>
      <c r="E48" s="69" t="str">
        <f>IFERROR(VLOOKUP(A48,【会員】①会員マスタ!$A$4:$J$105,3,0),"")</f>
        <v/>
      </c>
      <c r="F48" s="68">
        <f>IFERROR(SUMPRODUCT((ISNUMBER(SEARCH(E48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8" s="70">
        <f t="shared" si="3"/>
        <v>20000</v>
      </c>
      <c r="H48" s="71" t="str">
        <f t="shared" si="4"/>
        <v/>
      </c>
      <c r="I48" s="72" t="str">
        <f t="shared" si="5"/>
        <v/>
      </c>
      <c r="J48" s="73"/>
    </row>
    <row r="49" spans="1:10" ht="21.75" customHeight="1">
      <c r="A49" s="48"/>
      <c r="B49" s="37" t="str">
        <f>IFERROR(VLOOKUP(A49,【会員】①会員マスタ!$A$4:$J$105,2,0),"")</f>
        <v/>
      </c>
      <c r="C49" s="37" t="str">
        <f>IFERROR(VLOOKUP(A49,【会員】①会員マスタ!$A$4:$J$105,6,0),"")</f>
        <v/>
      </c>
      <c r="D49" s="39" t="str">
        <f>IFERROR(VLOOKUP(A49,【会員】①会員マスタ!$A$4:$J$105,7,0),"")</f>
        <v/>
      </c>
      <c r="E49" s="31" t="str">
        <f>IFERROR(VLOOKUP(A49,【会員】①会員マスタ!$A$4:$J$105,3,0),"")</f>
        <v/>
      </c>
      <c r="F49" s="39">
        <f>IFERROR(SUMPRODUCT((ISNUMBER(SEARCH(E49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49" s="38">
        <f t="shared" si="3"/>
        <v>20000</v>
      </c>
      <c r="H49" s="63" t="str">
        <f t="shared" si="4"/>
        <v/>
      </c>
      <c r="I49" s="64" t="str">
        <f t="shared" si="5"/>
        <v/>
      </c>
      <c r="J49" s="65"/>
    </row>
    <row r="50" spans="1:10" ht="21.75" customHeight="1">
      <c r="A50" s="66"/>
      <c r="B50" s="67" t="str">
        <f>IFERROR(VLOOKUP(A50,【会員】①会員マスタ!$A$4:$J$105,2,0),"")</f>
        <v/>
      </c>
      <c r="C50" s="67" t="str">
        <f>IFERROR(VLOOKUP(A50,【会員】①会員マスタ!$A$4:$J$105,6,0),"")</f>
        <v/>
      </c>
      <c r="D50" s="68" t="str">
        <f>IFERROR(VLOOKUP(A50,【会員】①会員マスタ!$A$4:$J$105,7,0),"")</f>
        <v/>
      </c>
      <c r="E50" s="69" t="str">
        <f>IFERROR(VLOOKUP(A50,【会員】①会員マスタ!$A$4:$J$105,3,0),"")</f>
        <v/>
      </c>
      <c r="F50" s="68">
        <f>IFERROR(SUMPRODUCT((ISNUMBER(SEARCH(E50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0" s="70">
        <f t="shared" si="3"/>
        <v>20000</v>
      </c>
      <c r="H50" s="71" t="str">
        <f t="shared" si="4"/>
        <v/>
      </c>
      <c r="I50" s="72" t="str">
        <f t="shared" si="5"/>
        <v/>
      </c>
      <c r="J50" s="73"/>
    </row>
    <row r="51" spans="1:10" ht="21.75" customHeight="1">
      <c r="A51" s="48"/>
      <c r="B51" s="37" t="str">
        <f>IFERROR(VLOOKUP(A51,【会員】①会員マスタ!$A$4:$J$105,2,0),"")</f>
        <v/>
      </c>
      <c r="C51" s="37" t="str">
        <f>IFERROR(VLOOKUP(A51,【会員】①会員マスタ!$A$4:$J$105,6,0),"")</f>
        <v/>
      </c>
      <c r="D51" s="39" t="str">
        <f>IFERROR(VLOOKUP(A51,【会員】①会員マスタ!$A$4:$J$105,7,0),"")</f>
        <v/>
      </c>
      <c r="E51" s="31" t="str">
        <f>IFERROR(VLOOKUP(A51,【会員】①会員マスタ!$A$4:$J$105,3,0),"")</f>
        <v/>
      </c>
      <c r="F51" s="39">
        <f>IFERROR(SUMPRODUCT((ISNUMBER(SEARCH(E51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1" s="38">
        <f t="shared" si="3"/>
        <v>20000</v>
      </c>
      <c r="H51" s="63" t="str">
        <f t="shared" si="4"/>
        <v/>
      </c>
      <c r="I51" s="64" t="str">
        <f t="shared" si="5"/>
        <v/>
      </c>
      <c r="J51" s="65"/>
    </row>
    <row r="52" spans="1:10" ht="21.75" customHeight="1">
      <c r="A52" s="66"/>
      <c r="B52" s="67" t="str">
        <f>IFERROR(VLOOKUP(A52,【会員】①会員マスタ!$A$4:$J$105,2,0),"")</f>
        <v/>
      </c>
      <c r="C52" s="67" t="str">
        <f>IFERROR(VLOOKUP(A52,【会員】①会員マスタ!$A$4:$J$105,6,0),"")</f>
        <v/>
      </c>
      <c r="D52" s="68" t="str">
        <f>IFERROR(VLOOKUP(A52,【会員】①会員マスタ!$A$4:$J$105,7,0),"")</f>
        <v/>
      </c>
      <c r="E52" s="69" t="str">
        <f>IFERROR(VLOOKUP(A52,【会員】①会員マスタ!$A$4:$J$105,3,0),"")</f>
        <v/>
      </c>
      <c r="F52" s="68">
        <f>IFERROR(SUMPRODUCT((ISNUMBER(SEARCH(E52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2" s="70">
        <f t="shared" si="3"/>
        <v>20000</v>
      </c>
      <c r="H52" s="71" t="str">
        <f t="shared" si="4"/>
        <v/>
      </c>
      <c r="I52" s="72" t="str">
        <f t="shared" si="5"/>
        <v/>
      </c>
      <c r="J52" s="73"/>
    </row>
    <row r="53" spans="1:10" ht="21.75" customHeight="1">
      <c r="A53" s="48"/>
      <c r="B53" s="37" t="str">
        <f>IFERROR(VLOOKUP(A53,【会員】①会員マスタ!$A$4:$J$105,2,0),"")</f>
        <v/>
      </c>
      <c r="C53" s="37" t="str">
        <f>IFERROR(VLOOKUP(A53,【会員】①会員マスタ!$A$4:$J$105,6,0),"")</f>
        <v/>
      </c>
      <c r="D53" s="39" t="str">
        <f>IFERROR(VLOOKUP(A53,【会員】①会員マスタ!$A$4:$J$105,7,0),"")</f>
        <v/>
      </c>
      <c r="E53" s="31" t="str">
        <f>IFERROR(VLOOKUP(A53,【会員】①会員マスタ!$A$4:$J$105,3,0),"")</f>
        <v/>
      </c>
      <c r="F53" s="39">
        <f>IFERROR(SUMPRODUCT((ISNUMBER(SEARCH(E53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3" s="38">
        <f t="shared" si="3"/>
        <v>20000</v>
      </c>
      <c r="H53" s="63" t="str">
        <f t="shared" si="4"/>
        <v/>
      </c>
      <c r="I53" s="64" t="str">
        <f t="shared" si="5"/>
        <v/>
      </c>
      <c r="J53" s="65"/>
    </row>
    <row r="54" spans="1:10" ht="21.75" customHeight="1">
      <c r="A54" s="66"/>
      <c r="B54" s="67" t="str">
        <f>IFERROR(VLOOKUP(A54,【会員】①会員マスタ!$A$4:$J$105,2,0),"")</f>
        <v/>
      </c>
      <c r="C54" s="67" t="str">
        <f>IFERROR(VLOOKUP(A54,【会員】①会員マスタ!$A$4:$J$105,6,0),"")</f>
        <v/>
      </c>
      <c r="D54" s="68" t="str">
        <f>IFERROR(VLOOKUP(A54,【会員】①会員マスタ!$A$4:$J$105,7,0),"")</f>
        <v/>
      </c>
      <c r="E54" s="69" t="str">
        <f>IFERROR(VLOOKUP(A54,【会員】①会員マスタ!$A$4:$J$105,3,0),"")</f>
        <v/>
      </c>
      <c r="F54" s="68">
        <f>IFERROR(SUMPRODUCT((ISNUMBER(SEARCH(E54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4" s="70">
        <f t="shared" si="3"/>
        <v>20000</v>
      </c>
      <c r="H54" s="71" t="str">
        <f t="shared" si="4"/>
        <v/>
      </c>
      <c r="I54" s="72" t="str">
        <f t="shared" si="5"/>
        <v/>
      </c>
      <c r="J54" s="73"/>
    </row>
    <row r="55" spans="1:10" ht="21.75" customHeight="1">
      <c r="A55" s="48"/>
      <c r="B55" s="37" t="str">
        <f>IFERROR(VLOOKUP(A55,【会員】①会員マスタ!$A$4:$J$105,2,0),"")</f>
        <v/>
      </c>
      <c r="C55" s="37" t="str">
        <f>IFERROR(VLOOKUP(A55,【会員】①会員マスタ!$A$4:$J$105,6,0),"")</f>
        <v/>
      </c>
      <c r="D55" s="39" t="str">
        <f>IFERROR(VLOOKUP(A55,【会員】①会員マスタ!$A$4:$J$105,7,0),"")</f>
        <v/>
      </c>
      <c r="E55" s="31" t="str">
        <f>IFERROR(VLOOKUP(A55,【会員】①会員マスタ!$A$4:$J$105,3,0),"")</f>
        <v/>
      </c>
      <c r="F55" s="39">
        <f>IFERROR(SUMPRODUCT((ISNUMBER(SEARCH(E55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5" s="38">
        <f t="shared" si="3"/>
        <v>20000</v>
      </c>
      <c r="H55" s="63" t="str">
        <f t="shared" si="4"/>
        <v/>
      </c>
      <c r="I55" s="64" t="str">
        <f t="shared" si="5"/>
        <v/>
      </c>
      <c r="J55" s="65"/>
    </row>
    <row r="56" spans="1:10" ht="21.75" customHeight="1">
      <c r="A56" s="66"/>
      <c r="B56" s="67" t="str">
        <f>IFERROR(VLOOKUP(A56,【会員】①会員マスタ!$A$4:$J$105,2,0),"")</f>
        <v/>
      </c>
      <c r="C56" s="67" t="str">
        <f>IFERROR(VLOOKUP(A56,【会員】①会員マスタ!$A$4:$J$105,6,0),"")</f>
        <v/>
      </c>
      <c r="D56" s="68" t="str">
        <f>IFERROR(VLOOKUP(A56,【会員】①会員マスタ!$A$4:$J$105,7,0),"")</f>
        <v/>
      </c>
      <c r="E56" s="69" t="str">
        <f>IFERROR(VLOOKUP(A56,【会員】①会員マスタ!$A$4:$J$105,3,0),"")</f>
        <v/>
      </c>
      <c r="F56" s="68">
        <f>IFERROR(SUMPRODUCT((ISNUMBER(SEARCH(E56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6" s="70">
        <f t="shared" si="3"/>
        <v>20000</v>
      </c>
      <c r="H56" s="71" t="str">
        <f t="shared" si="4"/>
        <v/>
      </c>
      <c r="I56" s="72" t="str">
        <f t="shared" si="5"/>
        <v/>
      </c>
      <c r="J56" s="73"/>
    </row>
    <row r="57" spans="1:10" ht="21.75" customHeight="1">
      <c r="A57" s="48"/>
      <c r="B57" s="37" t="str">
        <f>IFERROR(VLOOKUP(A57,【会員】①会員マスタ!$A$4:$J$105,2,0),"")</f>
        <v/>
      </c>
      <c r="C57" s="37" t="str">
        <f>IFERROR(VLOOKUP(A57,【会員】①会員マスタ!$A$4:$J$105,6,0),"")</f>
        <v/>
      </c>
      <c r="D57" s="39" t="str">
        <f>IFERROR(VLOOKUP(A57,【会員】①会員マスタ!$A$4:$J$105,7,0),"")</f>
        <v/>
      </c>
      <c r="E57" s="31" t="str">
        <f>IFERROR(VLOOKUP(A57,【会員】①会員マスタ!$A$4:$J$105,3,0),"")</f>
        <v/>
      </c>
      <c r="F57" s="39">
        <f>IFERROR(SUMPRODUCT((ISNUMBER(SEARCH(E57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7" s="38">
        <f t="shared" si="3"/>
        <v>20000</v>
      </c>
      <c r="H57" s="63" t="str">
        <f t="shared" si="4"/>
        <v/>
      </c>
      <c r="I57" s="64" t="str">
        <f t="shared" si="5"/>
        <v/>
      </c>
      <c r="J57" s="65"/>
    </row>
    <row r="58" spans="1:10" ht="21.75" customHeight="1">
      <c r="A58" s="66"/>
      <c r="B58" s="67" t="str">
        <f>IFERROR(VLOOKUP(A58,【会員】①会員マスタ!$A$4:$J$105,2,0),"")</f>
        <v/>
      </c>
      <c r="C58" s="67" t="str">
        <f>IFERROR(VLOOKUP(A58,【会員】①会員マスタ!$A$4:$J$105,6,0),"")</f>
        <v/>
      </c>
      <c r="D58" s="68" t="str">
        <f>IFERROR(VLOOKUP(A58,【会員】①会員マスタ!$A$4:$J$105,7,0),"")</f>
        <v/>
      </c>
      <c r="E58" s="69" t="str">
        <f>IFERROR(VLOOKUP(A58,【会員】①会員マスタ!$A$4:$J$105,3,0),"")</f>
        <v/>
      </c>
      <c r="F58" s="68">
        <f>IFERROR(SUMPRODUCT((ISNUMBER(SEARCH(E58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8" s="70">
        <f t="shared" si="3"/>
        <v>20000</v>
      </c>
      <c r="H58" s="71" t="str">
        <f t="shared" si="4"/>
        <v/>
      </c>
      <c r="I58" s="72" t="str">
        <f t="shared" si="5"/>
        <v/>
      </c>
      <c r="J58" s="73"/>
    </row>
    <row r="59" spans="1:10" ht="21.75" customHeight="1">
      <c r="A59" s="48"/>
      <c r="B59" s="37" t="str">
        <f>IFERROR(VLOOKUP(A59,【会員】①会員マスタ!$A$4:$J$105,2,0),"")</f>
        <v/>
      </c>
      <c r="C59" s="37" t="str">
        <f>IFERROR(VLOOKUP(A59,【会員】①会員マスタ!$A$4:$J$105,6,0),"")</f>
        <v/>
      </c>
      <c r="D59" s="39" t="str">
        <f>IFERROR(VLOOKUP(A59,【会員】①会員マスタ!$A$4:$J$105,7,0),"")</f>
        <v/>
      </c>
      <c r="E59" s="31" t="str">
        <f>IFERROR(VLOOKUP(A59,【会員】①会員マスタ!$A$4:$J$105,3,0),"")</f>
        <v/>
      </c>
      <c r="F59" s="39">
        <f>IFERROR(SUMPRODUCT((ISNUMBER(SEARCH(E59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59" s="38">
        <f t="shared" si="3"/>
        <v>20000</v>
      </c>
      <c r="H59" s="63" t="str">
        <f t="shared" si="4"/>
        <v/>
      </c>
      <c r="I59" s="64" t="str">
        <f t="shared" si="5"/>
        <v/>
      </c>
      <c r="J59" s="65"/>
    </row>
    <row r="60" spans="1:10" ht="21.75" customHeight="1">
      <c r="A60" s="66"/>
      <c r="B60" s="67" t="str">
        <f>IFERROR(VLOOKUP(A60,【会員】①会員マスタ!$A$4:$J$105,2,0),"")</f>
        <v/>
      </c>
      <c r="C60" s="67" t="str">
        <f>IFERROR(VLOOKUP(A60,【会員】①会員マスタ!$A$4:$J$105,6,0),"")</f>
        <v/>
      </c>
      <c r="D60" s="68" t="str">
        <f>IFERROR(VLOOKUP(A60,【会員】①会員マスタ!$A$4:$J$105,7,0),"")</f>
        <v/>
      </c>
      <c r="E60" s="69" t="str">
        <f>IFERROR(VLOOKUP(A60,【会員】①会員マスタ!$A$4:$J$105,3,0),"")</f>
        <v/>
      </c>
      <c r="F60" s="68">
        <f>IFERROR(SUMPRODUCT((ISNUMBER(SEARCH(E60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0" s="70">
        <f t="shared" si="3"/>
        <v>20000</v>
      </c>
      <c r="H60" s="71" t="str">
        <f t="shared" si="4"/>
        <v/>
      </c>
      <c r="I60" s="72" t="str">
        <f t="shared" si="5"/>
        <v/>
      </c>
      <c r="J60" s="73"/>
    </row>
    <row r="61" spans="1:10" ht="21.75" customHeight="1">
      <c r="A61" s="48"/>
      <c r="B61" s="37" t="str">
        <f>IFERROR(VLOOKUP(A61,【会員】①会員マスタ!$A$4:$J$105,2,0),"")</f>
        <v/>
      </c>
      <c r="C61" s="37" t="str">
        <f>IFERROR(VLOOKUP(A61,【会員】①会員マスタ!$A$4:$J$105,6,0),"")</f>
        <v/>
      </c>
      <c r="D61" s="39" t="str">
        <f>IFERROR(VLOOKUP(A61,【会員】①会員マスタ!$A$4:$J$105,7,0),"")</f>
        <v/>
      </c>
      <c r="E61" s="31" t="str">
        <f>IFERROR(VLOOKUP(A61,【会員】①会員マスタ!$A$4:$J$105,3,0),"")</f>
        <v/>
      </c>
      <c r="F61" s="39">
        <f>IFERROR(SUMPRODUCT((ISNUMBER(SEARCH(E61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1" s="38">
        <f t="shared" si="3"/>
        <v>20000</v>
      </c>
      <c r="H61" s="63" t="str">
        <f t="shared" si="4"/>
        <v/>
      </c>
      <c r="I61" s="64" t="str">
        <f t="shared" si="5"/>
        <v/>
      </c>
      <c r="J61" s="65"/>
    </row>
    <row r="62" spans="1:10" ht="21.75" customHeight="1">
      <c r="A62" s="66"/>
      <c r="B62" s="67" t="str">
        <f>IFERROR(VLOOKUP(A62,【会員】①会員マスタ!$A$4:$J$105,2,0),"")</f>
        <v/>
      </c>
      <c r="C62" s="67" t="str">
        <f>IFERROR(VLOOKUP(A62,【会員】①会員マスタ!$A$4:$J$105,6,0),"")</f>
        <v/>
      </c>
      <c r="D62" s="68" t="str">
        <f>IFERROR(VLOOKUP(A62,【会員】①会員マスタ!$A$4:$J$105,7,0),"")</f>
        <v/>
      </c>
      <c r="E62" s="69" t="str">
        <f>IFERROR(VLOOKUP(A62,【会員】①会員マスタ!$A$4:$J$105,3,0),"")</f>
        <v/>
      </c>
      <c r="F62" s="68">
        <f>IFERROR(SUMPRODUCT((ISNUMBER(SEARCH(E62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2" s="70">
        <f t="shared" si="3"/>
        <v>20000</v>
      </c>
      <c r="H62" s="71" t="str">
        <f t="shared" si="4"/>
        <v/>
      </c>
      <c r="I62" s="72" t="str">
        <f t="shared" si="5"/>
        <v/>
      </c>
      <c r="J62" s="73"/>
    </row>
    <row r="63" spans="1:10" ht="21.75" customHeight="1">
      <c r="A63" s="48"/>
      <c r="B63" s="37" t="str">
        <f>IFERROR(VLOOKUP(A63,【会員】①会員マスタ!$A$4:$J$105,2,0),"")</f>
        <v/>
      </c>
      <c r="C63" s="37" t="str">
        <f>IFERROR(VLOOKUP(A63,【会員】①会員マスタ!$A$4:$J$105,6,0),"")</f>
        <v/>
      </c>
      <c r="D63" s="39" t="str">
        <f>IFERROR(VLOOKUP(A63,【会員】①会員マスタ!$A$4:$J$105,7,0),"")</f>
        <v/>
      </c>
      <c r="E63" s="31" t="str">
        <f>IFERROR(VLOOKUP(A63,【会員】①会員マスタ!$A$4:$J$105,3,0),"")</f>
        <v/>
      </c>
      <c r="F63" s="39">
        <f>IFERROR(SUMPRODUCT((ISNUMBER(SEARCH(E63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3" s="38">
        <f t="shared" si="3"/>
        <v>20000</v>
      </c>
      <c r="H63" s="63" t="str">
        <f t="shared" si="4"/>
        <v/>
      </c>
      <c r="I63" s="64" t="str">
        <f t="shared" si="5"/>
        <v/>
      </c>
      <c r="J63" s="65"/>
    </row>
    <row r="64" spans="1:10" ht="21.75" customHeight="1">
      <c r="A64" s="66"/>
      <c r="B64" s="67" t="str">
        <f>IFERROR(VLOOKUP(A64,【会員】①会員マスタ!$A$4:$J$105,2,0),"")</f>
        <v/>
      </c>
      <c r="C64" s="67" t="str">
        <f>IFERROR(VLOOKUP(A64,【会員】①会員マスタ!$A$4:$J$105,6,0),"")</f>
        <v/>
      </c>
      <c r="D64" s="68" t="str">
        <f>IFERROR(VLOOKUP(A64,【会員】①会員マスタ!$A$4:$J$105,7,0),"")</f>
        <v/>
      </c>
      <c r="E64" s="69" t="str">
        <f>IFERROR(VLOOKUP(A64,【会員】①会員マスタ!$A$4:$J$105,3,0),"")</f>
        <v/>
      </c>
      <c r="F64" s="68">
        <f>IFERROR(SUMPRODUCT((ISNUMBER(SEARCH(E64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4" s="70">
        <f t="shared" si="3"/>
        <v>20000</v>
      </c>
      <c r="H64" s="71" t="str">
        <f t="shared" si="4"/>
        <v/>
      </c>
      <c r="I64" s="72" t="str">
        <f t="shared" si="5"/>
        <v/>
      </c>
      <c r="J64" s="73"/>
    </row>
    <row r="65" spans="1:10" ht="21.75" customHeight="1">
      <c r="A65" s="48"/>
      <c r="B65" s="37" t="str">
        <f>IFERROR(VLOOKUP(A65,【会員】①会員マスタ!$A$4:$J$105,2,0),"")</f>
        <v/>
      </c>
      <c r="C65" s="37" t="str">
        <f>IFERROR(VLOOKUP(A65,【会員】①会員マスタ!$A$4:$J$105,6,0),"")</f>
        <v/>
      </c>
      <c r="D65" s="39" t="str">
        <f>IFERROR(VLOOKUP(A65,【会員】①会員マスタ!$A$4:$J$105,7,0),"")</f>
        <v/>
      </c>
      <c r="E65" s="31" t="str">
        <f>IFERROR(VLOOKUP(A65,【会員】①会員マスタ!$A$4:$J$105,3,0),"")</f>
        <v/>
      </c>
      <c r="F65" s="39">
        <f>IFERROR(SUMPRODUCT((ISNUMBER(SEARCH(E65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5" s="38">
        <f t="shared" si="3"/>
        <v>20000</v>
      </c>
      <c r="H65" s="63" t="str">
        <f t="shared" si="4"/>
        <v/>
      </c>
      <c r="I65" s="64" t="str">
        <f t="shared" si="5"/>
        <v/>
      </c>
      <c r="J65" s="65"/>
    </row>
    <row r="66" spans="1:10" ht="21.75" customHeight="1">
      <c r="A66" s="66"/>
      <c r="B66" s="67" t="str">
        <f>IFERROR(VLOOKUP(A66,【会員】①会員マスタ!$A$4:$J$105,2,0),"")</f>
        <v/>
      </c>
      <c r="C66" s="67" t="str">
        <f>IFERROR(VLOOKUP(A66,【会員】①会員マスタ!$A$4:$J$105,6,0),"")</f>
        <v/>
      </c>
      <c r="D66" s="68" t="str">
        <f>IFERROR(VLOOKUP(A66,【会員】①会員マスタ!$A$4:$J$105,7,0),"")</f>
        <v/>
      </c>
      <c r="E66" s="69" t="str">
        <f>IFERROR(VLOOKUP(A66,【会員】①会員マスタ!$A$4:$J$105,3,0),"")</f>
        <v/>
      </c>
      <c r="F66" s="68">
        <f>IFERROR(SUMPRODUCT((ISNUMBER(SEARCH(E66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6" s="70">
        <f t="shared" si="3"/>
        <v>20000</v>
      </c>
      <c r="H66" s="71" t="str">
        <f t="shared" si="4"/>
        <v/>
      </c>
      <c r="I66" s="72" t="str">
        <f t="shared" si="5"/>
        <v/>
      </c>
      <c r="J66" s="73"/>
    </row>
    <row r="67" spans="1:10" ht="21.75" customHeight="1">
      <c r="A67" s="48"/>
      <c r="B67" s="37" t="str">
        <f>IFERROR(VLOOKUP(A67,【会員】①会員マスタ!$A$4:$J$105,2,0),"")</f>
        <v/>
      </c>
      <c r="C67" s="37" t="str">
        <f>IFERROR(VLOOKUP(A67,【会員】①会員マスタ!$A$4:$J$105,6,0),"")</f>
        <v/>
      </c>
      <c r="D67" s="39" t="str">
        <f>IFERROR(VLOOKUP(A67,【会員】①会員マスタ!$A$4:$J$105,7,0),"")</f>
        <v/>
      </c>
      <c r="E67" s="31" t="str">
        <f>IFERROR(VLOOKUP(A67,【会員】①会員マスタ!$A$4:$J$105,3,0),"")</f>
        <v/>
      </c>
      <c r="F67" s="39">
        <f>IFERROR(SUMPRODUCT((ISNUMBER(SEARCH(E67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7" s="38">
        <f t="shared" si="3"/>
        <v>20000</v>
      </c>
      <c r="H67" s="63" t="str">
        <f t="shared" si="4"/>
        <v/>
      </c>
      <c r="I67" s="64" t="str">
        <f t="shared" si="5"/>
        <v/>
      </c>
      <c r="J67" s="65"/>
    </row>
    <row r="68" spans="1:10" ht="21.75" customHeight="1">
      <c r="A68" s="66"/>
      <c r="B68" s="67" t="str">
        <f>IFERROR(VLOOKUP(A68,【会員】①会員マスタ!$A$4:$J$105,2,0),"")</f>
        <v/>
      </c>
      <c r="C68" s="67" t="str">
        <f>IFERROR(VLOOKUP(A68,【会員】①会員マスタ!$A$4:$J$105,6,0),"")</f>
        <v/>
      </c>
      <c r="D68" s="68" t="str">
        <f>IFERROR(VLOOKUP(A68,【会員】①会員マスタ!$A$4:$J$105,7,0),"")</f>
        <v/>
      </c>
      <c r="E68" s="69" t="str">
        <f>IFERROR(VLOOKUP(A68,【会員】①会員マスタ!$A$4:$J$105,3,0),"")</f>
        <v/>
      </c>
      <c r="F68" s="68">
        <f>IFERROR(SUMPRODUCT((ISNUMBER(SEARCH(E68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8" s="70">
        <f t="shared" si="3"/>
        <v>20000</v>
      </c>
      <c r="H68" s="71" t="str">
        <f t="shared" si="4"/>
        <v/>
      </c>
      <c r="I68" s="72" t="str">
        <f t="shared" si="5"/>
        <v/>
      </c>
      <c r="J68" s="73"/>
    </row>
    <row r="69" spans="1:10" ht="21.75" customHeight="1">
      <c r="A69" s="48"/>
      <c r="B69" s="37" t="str">
        <f>IFERROR(VLOOKUP(A69,【会員】①会員マスタ!$A$4:$J$105,2,0),"")</f>
        <v/>
      </c>
      <c r="C69" s="37" t="str">
        <f>IFERROR(VLOOKUP(A69,【会員】①会員マスタ!$A$4:$J$105,6,0),"")</f>
        <v/>
      </c>
      <c r="D69" s="39" t="str">
        <f>IFERROR(VLOOKUP(A69,【会員】①会員マスタ!$A$4:$J$105,7,0),"")</f>
        <v/>
      </c>
      <c r="E69" s="31" t="str">
        <f>IFERROR(VLOOKUP(A69,【会員】①会員マスタ!$A$4:$J$105,3,0),"")</f>
        <v/>
      </c>
      <c r="F69" s="39">
        <f>IFERROR(SUMPRODUCT((ISNUMBER(SEARCH(E69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69" s="38">
        <f t="shared" ref="G69:G100" si="6">IFERROR(F69,"")</f>
        <v>20000</v>
      </c>
      <c r="H69" s="63" t="str">
        <f t="shared" ref="H69:H100" si="7">IFERROR(IF(AND(D69&lt;&gt;"",G69&lt;&gt;""),D69-G69,""),"")</f>
        <v/>
      </c>
      <c r="I69" s="64" t="str">
        <f t="shared" ref="I69:I100" si="8">IF(A69="","",IF(G69="","未入金",IF(H69=0,"入金済",IF(H69&gt;0,"一部入金","要確認"))))</f>
        <v/>
      </c>
      <c r="J69" s="65"/>
    </row>
    <row r="70" spans="1:10" ht="21.75" customHeight="1">
      <c r="A70" s="66"/>
      <c r="B70" s="67" t="str">
        <f>IFERROR(VLOOKUP(A70,【会員】①会員マスタ!$A$4:$J$105,2,0),"")</f>
        <v/>
      </c>
      <c r="C70" s="67" t="str">
        <f>IFERROR(VLOOKUP(A70,【会員】①会員マスタ!$A$4:$J$105,6,0),"")</f>
        <v/>
      </c>
      <c r="D70" s="68" t="str">
        <f>IFERROR(VLOOKUP(A70,【会員】①会員マスタ!$A$4:$J$105,7,0),"")</f>
        <v/>
      </c>
      <c r="E70" s="69" t="str">
        <f>IFERROR(VLOOKUP(A70,【会員】①会員マスタ!$A$4:$J$105,3,0),"")</f>
        <v/>
      </c>
      <c r="F70" s="68">
        <f>IFERROR(SUMPRODUCT((ISNUMBER(SEARCH(E70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0" s="70">
        <f t="shared" si="6"/>
        <v>20000</v>
      </c>
      <c r="H70" s="71" t="str">
        <f t="shared" si="7"/>
        <v/>
      </c>
      <c r="I70" s="72" t="str">
        <f t="shared" si="8"/>
        <v/>
      </c>
      <c r="J70" s="73"/>
    </row>
    <row r="71" spans="1:10" ht="21.75" customHeight="1">
      <c r="A71" s="48"/>
      <c r="B71" s="37" t="str">
        <f>IFERROR(VLOOKUP(A71,【会員】①会員マスタ!$A$4:$J$105,2,0),"")</f>
        <v/>
      </c>
      <c r="C71" s="37" t="str">
        <f>IFERROR(VLOOKUP(A71,【会員】①会員マスタ!$A$4:$J$105,6,0),"")</f>
        <v/>
      </c>
      <c r="D71" s="39" t="str">
        <f>IFERROR(VLOOKUP(A71,【会員】①会員マスタ!$A$4:$J$105,7,0),"")</f>
        <v/>
      </c>
      <c r="E71" s="31" t="str">
        <f>IFERROR(VLOOKUP(A71,【会員】①会員マスタ!$A$4:$J$105,3,0),"")</f>
        <v/>
      </c>
      <c r="F71" s="39">
        <f>IFERROR(SUMPRODUCT((ISNUMBER(SEARCH(E71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1" s="38">
        <f t="shared" si="6"/>
        <v>20000</v>
      </c>
      <c r="H71" s="63" t="str">
        <f t="shared" si="7"/>
        <v/>
      </c>
      <c r="I71" s="64" t="str">
        <f t="shared" si="8"/>
        <v/>
      </c>
      <c r="J71" s="65"/>
    </row>
    <row r="72" spans="1:10" ht="21.75" customHeight="1">
      <c r="A72" s="66"/>
      <c r="B72" s="67" t="str">
        <f>IFERROR(VLOOKUP(A72,【会員】①会員マスタ!$A$4:$J$105,2,0),"")</f>
        <v/>
      </c>
      <c r="C72" s="67" t="str">
        <f>IFERROR(VLOOKUP(A72,【会員】①会員マスタ!$A$4:$J$105,6,0),"")</f>
        <v/>
      </c>
      <c r="D72" s="68" t="str">
        <f>IFERROR(VLOOKUP(A72,【会員】①会員マスタ!$A$4:$J$105,7,0),"")</f>
        <v/>
      </c>
      <c r="E72" s="69" t="str">
        <f>IFERROR(VLOOKUP(A72,【会員】①会員マスタ!$A$4:$J$105,3,0),"")</f>
        <v/>
      </c>
      <c r="F72" s="68">
        <f>IFERROR(SUMPRODUCT((ISNUMBER(SEARCH(E72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2" s="70">
        <f t="shared" si="6"/>
        <v>20000</v>
      </c>
      <c r="H72" s="71" t="str">
        <f t="shared" si="7"/>
        <v/>
      </c>
      <c r="I72" s="72" t="str">
        <f t="shared" si="8"/>
        <v/>
      </c>
      <c r="J72" s="73"/>
    </row>
    <row r="73" spans="1:10" ht="21.75" customHeight="1">
      <c r="A73" s="48"/>
      <c r="B73" s="37" t="str">
        <f>IFERROR(VLOOKUP(A73,【会員】①会員マスタ!$A$4:$J$105,2,0),"")</f>
        <v/>
      </c>
      <c r="C73" s="37" t="str">
        <f>IFERROR(VLOOKUP(A73,【会員】①会員マスタ!$A$4:$J$105,6,0),"")</f>
        <v/>
      </c>
      <c r="D73" s="39" t="str">
        <f>IFERROR(VLOOKUP(A73,【会員】①会員マスタ!$A$4:$J$105,7,0),"")</f>
        <v/>
      </c>
      <c r="E73" s="31" t="str">
        <f>IFERROR(VLOOKUP(A73,【会員】①会員マスタ!$A$4:$J$105,3,0),"")</f>
        <v/>
      </c>
      <c r="F73" s="39">
        <f>IFERROR(SUMPRODUCT((ISNUMBER(SEARCH(E73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3" s="38">
        <f t="shared" si="6"/>
        <v>20000</v>
      </c>
      <c r="H73" s="63" t="str">
        <f t="shared" si="7"/>
        <v/>
      </c>
      <c r="I73" s="64" t="str">
        <f t="shared" si="8"/>
        <v/>
      </c>
      <c r="J73" s="65"/>
    </row>
    <row r="74" spans="1:10" ht="21.75" customHeight="1">
      <c r="A74" s="66"/>
      <c r="B74" s="67" t="str">
        <f>IFERROR(VLOOKUP(A74,【会員】①会員マスタ!$A$4:$J$105,2,0),"")</f>
        <v/>
      </c>
      <c r="C74" s="67" t="str">
        <f>IFERROR(VLOOKUP(A74,【会員】①会員マスタ!$A$4:$J$105,6,0),"")</f>
        <v/>
      </c>
      <c r="D74" s="68" t="str">
        <f>IFERROR(VLOOKUP(A74,【会員】①会員マスタ!$A$4:$J$105,7,0),"")</f>
        <v/>
      </c>
      <c r="E74" s="69" t="str">
        <f>IFERROR(VLOOKUP(A74,【会員】①会員マスタ!$A$4:$J$105,3,0),"")</f>
        <v/>
      </c>
      <c r="F74" s="68">
        <f>IFERROR(SUMPRODUCT((ISNUMBER(SEARCH(E74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4" s="70">
        <f t="shared" si="6"/>
        <v>20000</v>
      </c>
      <c r="H74" s="71" t="str">
        <f t="shared" si="7"/>
        <v/>
      </c>
      <c r="I74" s="72" t="str">
        <f t="shared" si="8"/>
        <v/>
      </c>
      <c r="J74" s="73"/>
    </row>
    <row r="75" spans="1:10" ht="21.75" customHeight="1">
      <c r="A75" s="48"/>
      <c r="B75" s="37" t="str">
        <f>IFERROR(VLOOKUP(A75,【会員】①会員マスタ!$A$4:$J$105,2,0),"")</f>
        <v/>
      </c>
      <c r="C75" s="37" t="str">
        <f>IFERROR(VLOOKUP(A75,【会員】①会員マスタ!$A$4:$J$105,6,0),"")</f>
        <v/>
      </c>
      <c r="D75" s="39" t="str">
        <f>IFERROR(VLOOKUP(A75,【会員】①会員マスタ!$A$4:$J$105,7,0),"")</f>
        <v/>
      </c>
      <c r="E75" s="31" t="str">
        <f>IFERROR(VLOOKUP(A75,【会員】①会員マスタ!$A$4:$J$105,3,0),"")</f>
        <v/>
      </c>
      <c r="F75" s="39">
        <f>IFERROR(SUMPRODUCT((ISNUMBER(SEARCH(E75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5" s="38">
        <f t="shared" si="6"/>
        <v>20000</v>
      </c>
      <c r="H75" s="63" t="str">
        <f t="shared" si="7"/>
        <v/>
      </c>
      <c r="I75" s="64" t="str">
        <f t="shared" si="8"/>
        <v/>
      </c>
      <c r="J75" s="65"/>
    </row>
    <row r="76" spans="1:10" ht="21.75" customHeight="1">
      <c r="A76" s="66"/>
      <c r="B76" s="67" t="str">
        <f>IFERROR(VLOOKUP(A76,【会員】①会員マスタ!$A$4:$J$105,2,0),"")</f>
        <v/>
      </c>
      <c r="C76" s="67" t="str">
        <f>IFERROR(VLOOKUP(A76,【会員】①会員マスタ!$A$4:$J$105,6,0),"")</f>
        <v/>
      </c>
      <c r="D76" s="68" t="str">
        <f>IFERROR(VLOOKUP(A76,【会員】①会員マスタ!$A$4:$J$105,7,0),"")</f>
        <v/>
      </c>
      <c r="E76" s="69" t="str">
        <f>IFERROR(VLOOKUP(A76,【会員】①会員マスタ!$A$4:$J$105,3,0),"")</f>
        <v/>
      </c>
      <c r="F76" s="68">
        <f>IFERROR(SUMPRODUCT((ISNUMBER(SEARCH(E76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6" s="70">
        <f t="shared" si="6"/>
        <v>20000</v>
      </c>
      <c r="H76" s="71" t="str">
        <f t="shared" si="7"/>
        <v/>
      </c>
      <c r="I76" s="72" t="str">
        <f t="shared" si="8"/>
        <v/>
      </c>
      <c r="J76" s="73"/>
    </row>
    <row r="77" spans="1:10" ht="21.75" customHeight="1">
      <c r="A77" s="48"/>
      <c r="B77" s="37" t="str">
        <f>IFERROR(VLOOKUP(A77,【会員】①会員マスタ!$A$4:$J$105,2,0),"")</f>
        <v/>
      </c>
      <c r="C77" s="37" t="str">
        <f>IFERROR(VLOOKUP(A77,【会員】①会員マスタ!$A$4:$J$105,6,0),"")</f>
        <v/>
      </c>
      <c r="D77" s="39" t="str">
        <f>IFERROR(VLOOKUP(A77,【会員】①会員マスタ!$A$4:$J$105,7,0),"")</f>
        <v/>
      </c>
      <c r="E77" s="31" t="str">
        <f>IFERROR(VLOOKUP(A77,【会員】①会員マスタ!$A$4:$J$105,3,0),"")</f>
        <v/>
      </c>
      <c r="F77" s="39">
        <f>IFERROR(SUMPRODUCT((ISNUMBER(SEARCH(E77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7" s="38">
        <f t="shared" si="6"/>
        <v>20000</v>
      </c>
      <c r="H77" s="63" t="str">
        <f t="shared" si="7"/>
        <v/>
      </c>
      <c r="I77" s="64" t="str">
        <f t="shared" si="8"/>
        <v/>
      </c>
      <c r="J77" s="65"/>
    </row>
    <row r="78" spans="1:10" ht="21.75" customHeight="1">
      <c r="A78" s="66"/>
      <c r="B78" s="67" t="str">
        <f>IFERROR(VLOOKUP(A78,【会員】①会員マスタ!$A$4:$J$105,2,0),"")</f>
        <v/>
      </c>
      <c r="C78" s="67" t="str">
        <f>IFERROR(VLOOKUP(A78,【会員】①会員マスタ!$A$4:$J$105,6,0),"")</f>
        <v/>
      </c>
      <c r="D78" s="68" t="str">
        <f>IFERROR(VLOOKUP(A78,【会員】①会員マスタ!$A$4:$J$105,7,0),"")</f>
        <v/>
      </c>
      <c r="E78" s="69" t="str">
        <f>IFERROR(VLOOKUP(A78,【会員】①会員マスタ!$A$4:$J$105,3,0),"")</f>
        <v/>
      </c>
      <c r="F78" s="68">
        <f>IFERROR(SUMPRODUCT((ISNUMBER(SEARCH(E78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8" s="70">
        <f t="shared" si="6"/>
        <v>20000</v>
      </c>
      <c r="H78" s="71" t="str">
        <f t="shared" si="7"/>
        <v/>
      </c>
      <c r="I78" s="72" t="str">
        <f t="shared" si="8"/>
        <v/>
      </c>
      <c r="J78" s="73"/>
    </row>
    <row r="79" spans="1:10" ht="21.75" customHeight="1">
      <c r="A79" s="48"/>
      <c r="B79" s="37" t="str">
        <f>IFERROR(VLOOKUP(A79,【会員】①会員マスタ!$A$4:$J$105,2,0),"")</f>
        <v/>
      </c>
      <c r="C79" s="37" t="str">
        <f>IFERROR(VLOOKUP(A79,【会員】①会員マスタ!$A$4:$J$105,6,0),"")</f>
        <v/>
      </c>
      <c r="D79" s="39" t="str">
        <f>IFERROR(VLOOKUP(A79,【会員】①会員マスタ!$A$4:$J$105,7,0),"")</f>
        <v/>
      </c>
      <c r="E79" s="31" t="str">
        <f>IFERROR(VLOOKUP(A79,【会員】①会員マスタ!$A$4:$J$105,3,0),"")</f>
        <v/>
      </c>
      <c r="F79" s="39">
        <f>IFERROR(SUMPRODUCT((ISNUMBER(SEARCH(E79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79" s="38">
        <f t="shared" si="6"/>
        <v>20000</v>
      </c>
      <c r="H79" s="63" t="str">
        <f t="shared" si="7"/>
        <v/>
      </c>
      <c r="I79" s="64" t="str">
        <f t="shared" si="8"/>
        <v/>
      </c>
      <c r="J79" s="65"/>
    </row>
    <row r="80" spans="1:10" ht="21.75" customHeight="1">
      <c r="A80" s="66"/>
      <c r="B80" s="67" t="str">
        <f>IFERROR(VLOOKUP(A80,【会員】①会員マスタ!$A$4:$J$105,2,0),"")</f>
        <v/>
      </c>
      <c r="C80" s="67" t="str">
        <f>IFERROR(VLOOKUP(A80,【会員】①会員マスタ!$A$4:$J$105,6,0),"")</f>
        <v/>
      </c>
      <c r="D80" s="68" t="str">
        <f>IFERROR(VLOOKUP(A80,【会員】①会員マスタ!$A$4:$J$105,7,0),"")</f>
        <v/>
      </c>
      <c r="E80" s="69" t="str">
        <f>IFERROR(VLOOKUP(A80,【会員】①会員マスタ!$A$4:$J$105,3,0),"")</f>
        <v/>
      </c>
      <c r="F80" s="68">
        <f>IFERROR(SUMPRODUCT((ISNUMBER(SEARCH(E80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0" s="70">
        <f t="shared" si="6"/>
        <v>20000</v>
      </c>
      <c r="H80" s="71" t="str">
        <f t="shared" si="7"/>
        <v/>
      </c>
      <c r="I80" s="72" t="str">
        <f t="shared" si="8"/>
        <v/>
      </c>
      <c r="J80" s="73"/>
    </row>
    <row r="81" spans="1:10" ht="21.75" customHeight="1">
      <c r="A81" s="48"/>
      <c r="B81" s="37" t="str">
        <f>IFERROR(VLOOKUP(A81,【会員】①会員マスタ!$A$4:$J$105,2,0),"")</f>
        <v/>
      </c>
      <c r="C81" s="37" t="str">
        <f>IFERROR(VLOOKUP(A81,【会員】①会員マスタ!$A$4:$J$105,6,0),"")</f>
        <v/>
      </c>
      <c r="D81" s="39" t="str">
        <f>IFERROR(VLOOKUP(A81,【会員】①会員マスタ!$A$4:$J$105,7,0),"")</f>
        <v/>
      </c>
      <c r="E81" s="31" t="str">
        <f>IFERROR(VLOOKUP(A81,【会員】①会員マスタ!$A$4:$J$105,3,0),"")</f>
        <v/>
      </c>
      <c r="F81" s="39">
        <f>IFERROR(SUMPRODUCT((ISNUMBER(SEARCH(E81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1" s="38">
        <f t="shared" si="6"/>
        <v>20000</v>
      </c>
      <c r="H81" s="63" t="str">
        <f t="shared" si="7"/>
        <v/>
      </c>
      <c r="I81" s="64" t="str">
        <f t="shared" si="8"/>
        <v/>
      </c>
      <c r="J81" s="65"/>
    </row>
    <row r="82" spans="1:10" ht="21.75" customHeight="1">
      <c r="A82" s="66"/>
      <c r="B82" s="67" t="str">
        <f>IFERROR(VLOOKUP(A82,【会員】①会員マスタ!$A$4:$J$105,2,0),"")</f>
        <v/>
      </c>
      <c r="C82" s="67" t="str">
        <f>IFERROR(VLOOKUP(A82,【会員】①会員マスタ!$A$4:$J$105,6,0),"")</f>
        <v/>
      </c>
      <c r="D82" s="68" t="str">
        <f>IFERROR(VLOOKUP(A82,【会員】①会員マスタ!$A$4:$J$105,7,0),"")</f>
        <v/>
      </c>
      <c r="E82" s="69" t="str">
        <f>IFERROR(VLOOKUP(A82,【会員】①会員マスタ!$A$4:$J$105,3,0),"")</f>
        <v/>
      </c>
      <c r="F82" s="68">
        <f>IFERROR(SUMPRODUCT((ISNUMBER(SEARCH(E82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2" s="70">
        <f t="shared" si="6"/>
        <v>20000</v>
      </c>
      <c r="H82" s="71" t="str">
        <f t="shared" si="7"/>
        <v/>
      </c>
      <c r="I82" s="72" t="str">
        <f t="shared" si="8"/>
        <v/>
      </c>
      <c r="J82" s="73"/>
    </row>
    <row r="83" spans="1:10" ht="21.75" customHeight="1">
      <c r="A83" s="48"/>
      <c r="B83" s="37" t="str">
        <f>IFERROR(VLOOKUP(A83,【会員】①会員マスタ!$A$4:$J$105,2,0),"")</f>
        <v/>
      </c>
      <c r="C83" s="37" t="str">
        <f>IFERROR(VLOOKUP(A83,【会員】①会員マスタ!$A$4:$J$105,6,0),"")</f>
        <v/>
      </c>
      <c r="D83" s="39" t="str">
        <f>IFERROR(VLOOKUP(A83,【会員】①会員マスタ!$A$4:$J$105,7,0),"")</f>
        <v/>
      </c>
      <c r="E83" s="31" t="str">
        <f>IFERROR(VLOOKUP(A83,【会員】①会員マスタ!$A$4:$J$105,3,0),"")</f>
        <v/>
      </c>
      <c r="F83" s="39">
        <f>IFERROR(SUMPRODUCT((ISNUMBER(SEARCH(E83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3" s="38">
        <f t="shared" si="6"/>
        <v>20000</v>
      </c>
      <c r="H83" s="63" t="str">
        <f t="shared" si="7"/>
        <v/>
      </c>
      <c r="I83" s="64" t="str">
        <f t="shared" si="8"/>
        <v/>
      </c>
      <c r="J83" s="65"/>
    </row>
    <row r="84" spans="1:10" ht="21.75" customHeight="1">
      <c r="A84" s="66"/>
      <c r="B84" s="67" t="str">
        <f>IFERROR(VLOOKUP(A84,【会員】①会員マスタ!$A$4:$J$105,2,0),"")</f>
        <v/>
      </c>
      <c r="C84" s="67" t="str">
        <f>IFERROR(VLOOKUP(A84,【会員】①会員マスタ!$A$4:$J$105,6,0),"")</f>
        <v/>
      </c>
      <c r="D84" s="68" t="str">
        <f>IFERROR(VLOOKUP(A84,【会員】①会員マスタ!$A$4:$J$105,7,0),"")</f>
        <v/>
      </c>
      <c r="E84" s="69" t="str">
        <f>IFERROR(VLOOKUP(A84,【会員】①会員マスタ!$A$4:$J$105,3,0),"")</f>
        <v/>
      </c>
      <c r="F84" s="68">
        <f>IFERROR(SUMPRODUCT((ISNUMBER(SEARCH(E84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4" s="70">
        <f t="shared" si="6"/>
        <v>20000</v>
      </c>
      <c r="H84" s="71" t="str">
        <f t="shared" si="7"/>
        <v/>
      </c>
      <c r="I84" s="72" t="str">
        <f t="shared" si="8"/>
        <v/>
      </c>
      <c r="J84" s="73"/>
    </row>
    <row r="85" spans="1:10" ht="21.75" customHeight="1">
      <c r="A85" s="48"/>
      <c r="B85" s="37" t="str">
        <f>IFERROR(VLOOKUP(A85,【会員】①会員マスタ!$A$4:$J$105,2,0),"")</f>
        <v/>
      </c>
      <c r="C85" s="37" t="str">
        <f>IFERROR(VLOOKUP(A85,【会員】①会員マスタ!$A$4:$J$105,6,0),"")</f>
        <v/>
      </c>
      <c r="D85" s="39" t="str">
        <f>IFERROR(VLOOKUP(A85,【会員】①会員マスタ!$A$4:$J$105,7,0),"")</f>
        <v/>
      </c>
      <c r="E85" s="31" t="str">
        <f>IFERROR(VLOOKUP(A85,【会員】①会員マスタ!$A$4:$J$105,3,0),"")</f>
        <v/>
      </c>
      <c r="F85" s="39">
        <f>IFERROR(SUMPRODUCT((ISNUMBER(SEARCH(E85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5" s="38">
        <f t="shared" si="6"/>
        <v>20000</v>
      </c>
      <c r="H85" s="63" t="str">
        <f t="shared" si="7"/>
        <v/>
      </c>
      <c r="I85" s="64" t="str">
        <f t="shared" si="8"/>
        <v/>
      </c>
      <c r="J85" s="65"/>
    </row>
    <row r="86" spans="1:10" ht="21.75" customHeight="1">
      <c r="A86" s="66"/>
      <c r="B86" s="67" t="str">
        <f>IFERROR(VLOOKUP(A86,【会員】①会員マスタ!$A$4:$J$105,2,0),"")</f>
        <v/>
      </c>
      <c r="C86" s="67" t="str">
        <f>IFERROR(VLOOKUP(A86,【会員】①会員マスタ!$A$4:$J$105,6,0),"")</f>
        <v/>
      </c>
      <c r="D86" s="68" t="str">
        <f>IFERROR(VLOOKUP(A86,【会員】①会員マスタ!$A$4:$J$105,7,0),"")</f>
        <v/>
      </c>
      <c r="E86" s="69" t="str">
        <f>IFERROR(VLOOKUP(A86,【会員】①会員マスタ!$A$4:$J$105,3,0),"")</f>
        <v/>
      </c>
      <c r="F86" s="68">
        <f>IFERROR(SUMPRODUCT((ISNUMBER(SEARCH(E86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6" s="70">
        <f t="shared" si="6"/>
        <v>20000</v>
      </c>
      <c r="H86" s="71" t="str">
        <f t="shared" si="7"/>
        <v/>
      </c>
      <c r="I86" s="72" t="str">
        <f t="shared" si="8"/>
        <v/>
      </c>
      <c r="J86" s="73"/>
    </row>
    <row r="87" spans="1:10" ht="21.75" customHeight="1">
      <c r="A87" s="48"/>
      <c r="B87" s="37" t="str">
        <f>IFERROR(VLOOKUP(A87,【会員】①会員マスタ!$A$4:$J$105,2,0),"")</f>
        <v/>
      </c>
      <c r="C87" s="37" t="str">
        <f>IFERROR(VLOOKUP(A87,【会員】①会員マスタ!$A$4:$J$105,6,0),"")</f>
        <v/>
      </c>
      <c r="D87" s="39" t="str">
        <f>IFERROR(VLOOKUP(A87,【会員】①会員マスタ!$A$4:$J$105,7,0),"")</f>
        <v/>
      </c>
      <c r="E87" s="31" t="str">
        <f>IFERROR(VLOOKUP(A87,【会員】①会員マスタ!$A$4:$J$105,3,0),"")</f>
        <v/>
      </c>
      <c r="F87" s="39">
        <f>IFERROR(SUMPRODUCT((ISNUMBER(SEARCH(E87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7" s="38">
        <f t="shared" si="6"/>
        <v>20000</v>
      </c>
      <c r="H87" s="63" t="str">
        <f t="shared" si="7"/>
        <v/>
      </c>
      <c r="I87" s="64" t="str">
        <f t="shared" si="8"/>
        <v/>
      </c>
      <c r="J87" s="65"/>
    </row>
    <row r="88" spans="1:10" ht="21.75" customHeight="1">
      <c r="A88" s="66"/>
      <c r="B88" s="67" t="str">
        <f>IFERROR(VLOOKUP(A88,【会員】①会員マスタ!$A$4:$J$105,2,0),"")</f>
        <v/>
      </c>
      <c r="C88" s="67" t="str">
        <f>IFERROR(VLOOKUP(A88,【会員】①会員マスタ!$A$4:$J$105,6,0),"")</f>
        <v/>
      </c>
      <c r="D88" s="68" t="str">
        <f>IFERROR(VLOOKUP(A88,【会員】①会員マスタ!$A$4:$J$105,7,0),"")</f>
        <v/>
      </c>
      <c r="E88" s="69" t="str">
        <f>IFERROR(VLOOKUP(A88,【会員】①会員マスタ!$A$4:$J$105,3,0),"")</f>
        <v/>
      </c>
      <c r="F88" s="68">
        <f>IFERROR(SUMPRODUCT((ISNUMBER(SEARCH(E88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8" s="70">
        <f t="shared" si="6"/>
        <v>20000</v>
      </c>
      <c r="H88" s="71" t="str">
        <f t="shared" si="7"/>
        <v/>
      </c>
      <c r="I88" s="72" t="str">
        <f t="shared" si="8"/>
        <v/>
      </c>
      <c r="J88" s="73"/>
    </row>
    <row r="89" spans="1:10" ht="21.75" customHeight="1">
      <c r="A89" s="48"/>
      <c r="B89" s="37" t="str">
        <f>IFERROR(VLOOKUP(A89,【会員】①会員マスタ!$A$4:$J$105,2,0),"")</f>
        <v/>
      </c>
      <c r="C89" s="37" t="str">
        <f>IFERROR(VLOOKUP(A89,【会員】①会員マスタ!$A$4:$J$105,6,0),"")</f>
        <v/>
      </c>
      <c r="D89" s="39" t="str">
        <f>IFERROR(VLOOKUP(A89,【会員】①会員マスタ!$A$4:$J$105,7,0),"")</f>
        <v/>
      </c>
      <c r="E89" s="31" t="str">
        <f>IFERROR(VLOOKUP(A89,【会員】①会員マスタ!$A$4:$J$105,3,0),"")</f>
        <v/>
      </c>
      <c r="F89" s="39">
        <f>IFERROR(SUMPRODUCT((ISNUMBER(SEARCH(E89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89" s="38">
        <f t="shared" si="6"/>
        <v>20000</v>
      </c>
      <c r="H89" s="63" t="str">
        <f t="shared" si="7"/>
        <v/>
      </c>
      <c r="I89" s="64" t="str">
        <f t="shared" si="8"/>
        <v/>
      </c>
      <c r="J89" s="65"/>
    </row>
    <row r="90" spans="1:10" ht="21.75" customHeight="1">
      <c r="A90" s="66"/>
      <c r="B90" s="67" t="str">
        <f>IFERROR(VLOOKUP(A90,【会員】①会員マスタ!$A$4:$J$105,2,0),"")</f>
        <v/>
      </c>
      <c r="C90" s="67" t="str">
        <f>IFERROR(VLOOKUP(A90,【会員】①会員マスタ!$A$4:$J$105,6,0),"")</f>
        <v/>
      </c>
      <c r="D90" s="68" t="str">
        <f>IFERROR(VLOOKUP(A90,【会員】①会員マスタ!$A$4:$J$105,7,0),"")</f>
        <v/>
      </c>
      <c r="E90" s="69" t="str">
        <f>IFERROR(VLOOKUP(A90,【会員】①会員マスタ!$A$4:$J$105,3,0),"")</f>
        <v/>
      </c>
      <c r="F90" s="68">
        <f>IFERROR(SUMPRODUCT((ISNUMBER(SEARCH(E90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0" s="70">
        <f t="shared" si="6"/>
        <v>20000</v>
      </c>
      <c r="H90" s="71" t="str">
        <f t="shared" si="7"/>
        <v/>
      </c>
      <c r="I90" s="72" t="str">
        <f t="shared" si="8"/>
        <v/>
      </c>
      <c r="J90" s="73"/>
    </row>
    <row r="91" spans="1:10" ht="21.75" customHeight="1">
      <c r="A91" s="48"/>
      <c r="B91" s="37" t="str">
        <f>IFERROR(VLOOKUP(A91,【会員】①会員マスタ!$A$4:$J$105,2,0),"")</f>
        <v/>
      </c>
      <c r="C91" s="37" t="str">
        <f>IFERROR(VLOOKUP(A91,【会員】①会員マスタ!$A$4:$J$105,6,0),"")</f>
        <v/>
      </c>
      <c r="D91" s="39" t="str">
        <f>IFERROR(VLOOKUP(A91,【会員】①会員マスタ!$A$4:$J$105,7,0),"")</f>
        <v/>
      </c>
      <c r="E91" s="31" t="str">
        <f>IFERROR(VLOOKUP(A91,【会員】①会員マスタ!$A$4:$J$105,3,0),"")</f>
        <v/>
      </c>
      <c r="F91" s="39">
        <f>IFERROR(SUMPRODUCT((ISNUMBER(SEARCH(E91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1" s="38">
        <f t="shared" si="6"/>
        <v>20000</v>
      </c>
      <c r="H91" s="63" t="str">
        <f t="shared" si="7"/>
        <v/>
      </c>
      <c r="I91" s="64" t="str">
        <f t="shared" si="8"/>
        <v/>
      </c>
      <c r="J91" s="65"/>
    </row>
    <row r="92" spans="1:10" ht="21.75" customHeight="1">
      <c r="A92" s="66"/>
      <c r="B92" s="67" t="str">
        <f>IFERROR(VLOOKUP(A92,【会員】①会員マスタ!$A$4:$J$105,2,0),"")</f>
        <v/>
      </c>
      <c r="C92" s="67" t="str">
        <f>IFERROR(VLOOKUP(A92,【会員】①会員マスタ!$A$4:$J$105,6,0),"")</f>
        <v/>
      </c>
      <c r="D92" s="68" t="str">
        <f>IFERROR(VLOOKUP(A92,【会員】①会員マスタ!$A$4:$J$105,7,0),"")</f>
        <v/>
      </c>
      <c r="E92" s="69" t="str">
        <f>IFERROR(VLOOKUP(A92,【会員】①会員マスタ!$A$4:$J$105,3,0),"")</f>
        <v/>
      </c>
      <c r="F92" s="68">
        <f>IFERROR(SUMPRODUCT((ISNUMBER(SEARCH(E92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2" s="70">
        <f t="shared" si="6"/>
        <v>20000</v>
      </c>
      <c r="H92" s="71" t="str">
        <f t="shared" si="7"/>
        <v/>
      </c>
      <c r="I92" s="72" t="str">
        <f t="shared" si="8"/>
        <v/>
      </c>
      <c r="J92" s="73"/>
    </row>
    <row r="93" spans="1:10" ht="21.75" customHeight="1">
      <c r="A93" s="48"/>
      <c r="B93" s="37" t="str">
        <f>IFERROR(VLOOKUP(A93,【会員】①会員マスタ!$A$4:$J$105,2,0),"")</f>
        <v/>
      </c>
      <c r="C93" s="37" t="str">
        <f>IFERROR(VLOOKUP(A93,【会員】①会員マスタ!$A$4:$J$105,6,0),"")</f>
        <v/>
      </c>
      <c r="D93" s="39" t="str">
        <f>IFERROR(VLOOKUP(A93,【会員】①会員マスタ!$A$4:$J$105,7,0),"")</f>
        <v/>
      </c>
      <c r="E93" s="31" t="str">
        <f>IFERROR(VLOOKUP(A93,【会員】①会員マスタ!$A$4:$J$105,3,0),"")</f>
        <v/>
      </c>
      <c r="F93" s="39">
        <f>IFERROR(SUMPRODUCT((ISNUMBER(SEARCH(E93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3" s="38">
        <f t="shared" si="6"/>
        <v>20000</v>
      </c>
      <c r="H93" s="63" t="str">
        <f t="shared" si="7"/>
        <v/>
      </c>
      <c r="I93" s="64" t="str">
        <f t="shared" si="8"/>
        <v/>
      </c>
      <c r="J93" s="65"/>
    </row>
    <row r="94" spans="1:10" ht="21.75" customHeight="1">
      <c r="A94" s="66"/>
      <c r="B94" s="67" t="str">
        <f>IFERROR(VLOOKUP(A94,【会員】①会員マスタ!$A$4:$J$105,2,0),"")</f>
        <v/>
      </c>
      <c r="C94" s="67" t="str">
        <f>IFERROR(VLOOKUP(A94,【会員】①会員マスタ!$A$4:$J$105,6,0),"")</f>
        <v/>
      </c>
      <c r="D94" s="68" t="str">
        <f>IFERROR(VLOOKUP(A94,【会員】①会員マスタ!$A$4:$J$105,7,0),"")</f>
        <v/>
      </c>
      <c r="E94" s="69" t="str">
        <f>IFERROR(VLOOKUP(A94,【会員】①会員マスタ!$A$4:$J$105,3,0),"")</f>
        <v/>
      </c>
      <c r="F94" s="68">
        <f>IFERROR(SUMPRODUCT((ISNUMBER(SEARCH(E94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4" s="70">
        <f t="shared" si="6"/>
        <v>20000</v>
      </c>
      <c r="H94" s="71" t="str">
        <f t="shared" si="7"/>
        <v/>
      </c>
      <c r="I94" s="72" t="str">
        <f t="shared" si="8"/>
        <v/>
      </c>
      <c r="J94" s="73"/>
    </row>
    <row r="95" spans="1:10" ht="21.75" customHeight="1">
      <c r="A95" s="48"/>
      <c r="B95" s="37" t="str">
        <f>IFERROR(VLOOKUP(A95,【会員】①会員マスタ!$A$4:$J$105,2,0),"")</f>
        <v/>
      </c>
      <c r="C95" s="37" t="str">
        <f>IFERROR(VLOOKUP(A95,【会員】①会員マスタ!$A$4:$J$105,6,0),"")</f>
        <v/>
      </c>
      <c r="D95" s="39" t="str">
        <f>IFERROR(VLOOKUP(A95,【会員】①会員マスタ!$A$4:$J$105,7,0),"")</f>
        <v/>
      </c>
      <c r="E95" s="31" t="str">
        <f>IFERROR(VLOOKUP(A95,【会員】①会員マスタ!$A$4:$J$105,3,0),"")</f>
        <v/>
      </c>
      <c r="F95" s="39">
        <f>IFERROR(SUMPRODUCT((ISNUMBER(SEARCH(E95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5" s="38">
        <f t="shared" si="6"/>
        <v>20000</v>
      </c>
      <c r="H95" s="63" t="str">
        <f t="shared" si="7"/>
        <v/>
      </c>
      <c r="I95" s="64" t="str">
        <f t="shared" si="8"/>
        <v/>
      </c>
      <c r="J95" s="65"/>
    </row>
    <row r="96" spans="1:10" ht="21.75" customHeight="1">
      <c r="A96" s="66"/>
      <c r="B96" s="67" t="str">
        <f>IFERROR(VLOOKUP(A96,【会員】①会員マスタ!$A$4:$J$105,2,0),"")</f>
        <v/>
      </c>
      <c r="C96" s="67" t="str">
        <f>IFERROR(VLOOKUP(A96,【会員】①会員マスタ!$A$4:$J$105,6,0),"")</f>
        <v/>
      </c>
      <c r="D96" s="68" t="str">
        <f>IFERROR(VLOOKUP(A96,【会員】①会員マスタ!$A$4:$J$105,7,0),"")</f>
        <v/>
      </c>
      <c r="E96" s="69" t="str">
        <f>IFERROR(VLOOKUP(A96,【会員】①会員マスタ!$A$4:$J$105,3,0),"")</f>
        <v/>
      </c>
      <c r="F96" s="68">
        <f>IFERROR(SUMPRODUCT((ISNUMBER(SEARCH(E96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6" s="70">
        <f t="shared" si="6"/>
        <v>20000</v>
      </c>
      <c r="H96" s="71" t="str">
        <f t="shared" si="7"/>
        <v/>
      </c>
      <c r="I96" s="72" t="str">
        <f t="shared" si="8"/>
        <v/>
      </c>
      <c r="J96" s="73"/>
    </row>
    <row r="97" spans="1:10" ht="21.75" customHeight="1">
      <c r="A97" s="48"/>
      <c r="B97" s="37" t="str">
        <f>IFERROR(VLOOKUP(A97,【会員】①会員マスタ!$A$4:$J$105,2,0),"")</f>
        <v/>
      </c>
      <c r="C97" s="37" t="str">
        <f>IFERROR(VLOOKUP(A97,【会員】①会員マスタ!$A$4:$J$105,6,0),"")</f>
        <v/>
      </c>
      <c r="D97" s="39" t="str">
        <f>IFERROR(VLOOKUP(A97,【会員】①会員マスタ!$A$4:$J$105,7,0),"")</f>
        <v/>
      </c>
      <c r="E97" s="31" t="str">
        <f>IFERROR(VLOOKUP(A97,【会員】①会員マスタ!$A$4:$J$105,3,0),"")</f>
        <v/>
      </c>
      <c r="F97" s="39">
        <f>IFERROR(SUMPRODUCT((ISNUMBER(SEARCH(E97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7" s="38">
        <f t="shared" si="6"/>
        <v>20000</v>
      </c>
      <c r="H97" s="63" t="str">
        <f t="shared" si="7"/>
        <v/>
      </c>
      <c r="I97" s="64" t="str">
        <f t="shared" si="8"/>
        <v/>
      </c>
      <c r="J97" s="65"/>
    </row>
    <row r="98" spans="1:10" ht="21.75" customHeight="1">
      <c r="A98" s="66"/>
      <c r="B98" s="67" t="str">
        <f>IFERROR(VLOOKUP(A98,【会員】①会員マスタ!$A$4:$J$105,2,0),"")</f>
        <v/>
      </c>
      <c r="C98" s="67" t="str">
        <f>IFERROR(VLOOKUP(A98,【会員】①会員マスタ!$A$4:$J$105,6,0),"")</f>
        <v/>
      </c>
      <c r="D98" s="68" t="str">
        <f>IFERROR(VLOOKUP(A98,【会員】①会員マスタ!$A$4:$J$105,7,0),"")</f>
        <v/>
      </c>
      <c r="E98" s="69" t="str">
        <f>IFERROR(VLOOKUP(A98,【会員】①会員マスタ!$A$4:$J$105,3,0),"")</f>
        <v/>
      </c>
      <c r="F98" s="68">
        <f>IFERROR(SUMPRODUCT((ISNUMBER(SEARCH(E98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8" s="70">
        <f t="shared" si="6"/>
        <v>20000</v>
      </c>
      <c r="H98" s="71" t="str">
        <f t="shared" si="7"/>
        <v/>
      </c>
      <c r="I98" s="72" t="str">
        <f t="shared" si="8"/>
        <v/>
      </c>
      <c r="J98" s="73"/>
    </row>
    <row r="99" spans="1:10" ht="21.75" customHeight="1">
      <c r="A99" s="48"/>
      <c r="B99" s="37" t="str">
        <f>IFERROR(VLOOKUP(A99,【会員】①会員マスタ!$A$4:$J$105,2,0),"")</f>
        <v/>
      </c>
      <c r="C99" s="37" t="str">
        <f>IFERROR(VLOOKUP(A99,【会員】①会員マスタ!$A$4:$J$105,6,0),"")</f>
        <v/>
      </c>
      <c r="D99" s="39" t="str">
        <f>IFERROR(VLOOKUP(A99,【会員】①会員マスタ!$A$4:$J$105,7,0),"")</f>
        <v/>
      </c>
      <c r="E99" s="31" t="str">
        <f>IFERROR(VLOOKUP(A99,【会員】①会員マスタ!$A$4:$J$105,3,0),"")</f>
        <v/>
      </c>
      <c r="F99" s="39">
        <f>IFERROR(SUMPRODUCT((ISNUMBER(SEARCH(E99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99" s="38">
        <f t="shared" si="6"/>
        <v>20000</v>
      </c>
      <c r="H99" s="63" t="str">
        <f t="shared" si="7"/>
        <v/>
      </c>
      <c r="I99" s="64" t="str">
        <f t="shared" si="8"/>
        <v/>
      </c>
      <c r="J99" s="65"/>
    </row>
    <row r="100" spans="1:10" ht="21.75" customHeight="1">
      <c r="A100" s="66"/>
      <c r="B100" s="67" t="str">
        <f>IFERROR(VLOOKUP(A100,【会員】①会員マスタ!$A$4:$J$105,2,0),"")</f>
        <v/>
      </c>
      <c r="C100" s="67" t="str">
        <f>IFERROR(VLOOKUP(A100,【会員】①会員マスタ!$A$4:$J$105,6,0),"")</f>
        <v/>
      </c>
      <c r="D100" s="68" t="str">
        <f>IFERROR(VLOOKUP(A100,【会員】①会員マスタ!$A$4:$J$105,7,0),"")</f>
        <v/>
      </c>
      <c r="E100" s="69" t="str">
        <f>IFERROR(VLOOKUP(A100,【会員】①会員マスタ!$A$4:$J$105,3,0),"")</f>
        <v/>
      </c>
      <c r="F100" s="68">
        <f>IFERROR(SUMPRODUCT((ISNUMBER(SEARCH(E100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00" s="70">
        <f t="shared" si="6"/>
        <v>20000</v>
      </c>
      <c r="H100" s="71" t="str">
        <f t="shared" si="7"/>
        <v/>
      </c>
      <c r="I100" s="72" t="str">
        <f t="shared" si="8"/>
        <v/>
      </c>
      <c r="J100" s="73"/>
    </row>
    <row r="101" spans="1:10" ht="21.75" customHeight="1">
      <c r="A101" s="48"/>
      <c r="B101" s="37" t="str">
        <f>IFERROR(VLOOKUP(A101,【会員】①会員マスタ!$A$4:$J$105,2,0),"")</f>
        <v/>
      </c>
      <c r="C101" s="37" t="str">
        <f>IFERROR(VLOOKUP(A101,【会員】①会員マスタ!$A$4:$J$105,6,0),"")</f>
        <v/>
      </c>
      <c r="D101" s="39" t="str">
        <f>IFERROR(VLOOKUP(A101,【会員】①会員マスタ!$A$4:$J$105,7,0),"")</f>
        <v/>
      </c>
      <c r="E101" s="31" t="str">
        <f>IFERROR(VLOOKUP(A101,【会員】①会員マスタ!$A$4:$J$105,3,0),"")</f>
        <v/>
      </c>
      <c r="F101" s="39">
        <f>IFERROR(SUMPRODUCT((ISNUMBER(SEARCH(E101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01" s="38">
        <f t="shared" ref="G101:G132" si="9">IFERROR(F101,"")</f>
        <v>20000</v>
      </c>
      <c r="H101" s="63" t="str">
        <f t="shared" ref="H101:H132" si="10">IFERROR(IF(AND(D101&lt;&gt;"",G101&lt;&gt;""),D101-G101,""),"")</f>
        <v/>
      </c>
      <c r="I101" s="64" t="str">
        <f t="shared" ref="I101:I132" si="11">IF(A101="","",IF(G101="","未入金",IF(H101=0,"入金済",IF(H101&gt;0,"一部入金","要確認"))))</f>
        <v/>
      </c>
      <c r="J101" s="65"/>
    </row>
    <row r="102" spans="1:10" ht="21.75" customHeight="1">
      <c r="A102" s="66"/>
      <c r="B102" s="67" t="str">
        <f>IFERROR(VLOOKUP(A102,【会員】①会員マスタ!$A$4:$J$105,2,0),"")</f>
        <v/>
      </c>
      <c r="C102" s="67" t="str">
        <f>IFERROR(VLOOKUP(A102,【会員】①会員マスタ!$A$4:$J$105,6,0),"")</f>
        <v/>
      </c>
      <c r="D102" s="68" t="str">
        <f>IFERROR(VLOOKUP(A102,【会員】①会員マスタ!$A$4:$J$105,7,0),"")</f>
        <v/>
      </c>
      <c r="E102" s="69" t="str">
        <f>IFERROR(VLOOKUP(A102,【会員】①会員マスタ!$A$4:$J$105,3,0),"")</f>
        <v/>
      </c>
      <c r="F102" s="68">
        <f>IFERROR(SUMPRODUCT((ISNUMBER(SEARCH(E102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02" s="70">
        <f t="shared" si="9"/>
        <v>20000</v>
      </c>
      <c r="H102" s="71" t="str">
        <f t="shared" si="10"/>
        <v/>
      </c>
      <c r="I102" s="72" t="str">
        <f t="shared" si="11"/>
        <v/>
      </c>
      <c r="J102" s="73"/>
    </row>
    <row r="103" spans="1:10" ht="21.75" customHeight="1">
      <c r="A103" s="48"/>
      <c r="B103" s="37" t="str">
        <f>IFERROR(VLOOKUP(A103,【会員】①会員マスタ!$A$4:$J$105,2,0),"")</f>
        <v/>
      </c>
      <c r="C103" s="37" t="str">
        <f>IFERROR(VLOOKUP(A103,【会員】①会員マスタ!$A$4:$J$105,6,0),"")</f>
        <v/>
      </c>
      <c r="D103" s="39" t="str">
        <f>IFERROR(VLOOKUP(A103,【会員】①会員マスタ!$A$4:$J$105,7,0),"")</f>
        <v/>
      </c>
      <c r="E103" s="31" t="str">
        <f>IFERROR(VLOOKUP(A103,【会員】①会員マスタ!$A$4:$J$105,3,0),"")</f>
        <v/>
      </c>
      <c r="F103" s="39">
        <f>IFERROR(SUMPRODUCT((ISNUMBER(SEARCH(E103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03" s="38">
        <f t="shared" si="9"/>
        <v>20000</v>
      </c>
      <c r="H103" s="63" t="str">
        <f t="shared" si="10"/>
        <v/>
      </c>
      <c r="I103" s="64" t="str">
        <f t="shared" si="11"/>
        <v/>
      </c>
      <c r="J103" s="65"/>
    </row>
    <row r="104" spans="1:10" ht="21.75" customHeight="1">
      <c r="A104" s="66"/>
      <c r="B104" s="67" t="str">
        <f>IFERROR(VLOOKUP(A104,【会員】①会員マスタ!$A$4:$J$105,2,0),"")</f>
        <v/>
      </c>
      <c r="C104" s="67" t="str">
        <f>IFERROR(VLOOKUP(A104,【会員】①会員マスタ!$A$4:$J$105,6,0),"")</f>
        <v/>
      </c>
      <c r="D104" s="68" t="str">
        <f>IFERROR(VLOOKUP(A104,【会員】①会員マスタ!$A$4:$J$105,7,0),"")</f>
        <v/>
      </c>
      <c r="E104" s="69" t="str">
        <f>IFERROR(VLOOKUP(A104,【会員】①会員マスタ!$A$4:$J$105,3,0),"")</f>
        <v/>
      </c>
      <c r="F104" s="68">
        <f>IFERROR(SUMPRODUCT((ISNUMBER(SEARCH(E104,【会員】②CSVペースト!$B$4:$B$103)))*(ISNUMBER(【会員】②CSVペースト!$A$4:$A$103))*(MONTH(【会員】②CSVペースト!$A$4:$A$103)=MONTH($B$3))*(YEAR(【会員】②CSVペースト!$A$4:$A$103)=YEAR($B$3))*(【会員】②CSVペースト!$C$4:$C$103)),"")</f>
        <v>20000</v>
      </c>
      <c r="G104" s="70">
        <f t="shared" si="9"/>
        <v>20000</v>
      </c>
      <c r="H104" s="71" t="str">
        <f t="shared" si="10"/>
        <v/>
      </c>
      <c r="I104" s="72" t="str">
        <f t="shared" si="11"/>
        <v/>
      </c>
      <c r="J104" s="73"/>
    </row>
  </sheetData>
  <mergeCells count="3">
    <mergeCell ref="A1:J1"/>
    <mergeCell ref="A2:J2"/>
    <mergeCell ref="C3:J3"/>
  </mergeCells>
  <phoneticPr fontId="37"/>
  <conditionalFormatting sqref="A5:J104">
    <cfRule type="expression" dxfId="4" priority="6">
      <formula>$H5&lt;0</formula>
    </cfRule>
  </conditionalFormatting>
  <conditionalFormatting sqref="I5:I104">
    <cfRule type="cellIs" dxfId="3" priority="2" operator="equal">
      <formula>"入金済"</formula>
    </cfRule>
    <cfRule type="cellIs" dxfId="2" priority="3" operator="equal">
      <formula>"未入金"</formula>
    </cfRule>
    <cfRule type="cellIs" dxfId="1" priority="4" operator="equal">
      <formula>"一部入金"</formula>
    </cfRule>
    <cfRule type="cellIs" dxfId="0" priority="5" operator="equal">
      <formula>"要確認"</formula>
    </cfRule>
  </conditionalFormatting>
  <dataValidations count="1">
    <dataValidation type="list" allowBlank="1" sqref="I5:I104" xr:uid="{00000000-0002-0000-0700-000000000000}">
      <formula1>"入金済,未入金,一部入金,要確認,対象外"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559A"/>
  </sheetPr>
  <dimension ref="A1:J20"/>
  <sheetViews>
    <sheetView zoomScaleNormal="100" workbookViewId="0"/>
  </sheetViews>
  <sheetFormatPr defaultColWidth="8.6328125" defaultRowHeight="14.5"/>
  <cols>
    <col min="1" max="1" width="20" customWidth="1"/>
    <col min="2" max="2" width="14" customWidth="1"/>
    <col min="3" max="3" width="40" customWidth="1"/>
    <col min="4" max="4" width="24" customWidth="1"/>
  </cols>
  <sheetData>
    <row r="1" spans="1:10" ht="24" customHeight="1">
      <c r="A1" s="2" t="s">
        <v>153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8" t="s">
        <v>154</v>
      </c>
      <c r="B2" s="8"/>
      <c r="C2" s="8"/>
      <c r="D2" s="8"/>
      <c r="E2" s="8"/>
      <c r="F2" s="8"/>
      <c r="G2" s="8"/>
      <c r="H2" s="8"/>
      <c r="I2" s="8"/>
      <c r="J2" s="8"/>
    </row>
    <row r="3" spans="1:10" ht="27.75" customHeight="1">
      <c r="A3" s="55" t="s">
        <v>155</v>
      </c>
      <c r="B3" s="55" t="s">
        <v>117</v>
      </c>
      <c r="C3" s="55" t="s">
        <v>156</v>
      </c>
      <c r="D3" s="55" t="s">
        <v>55</v>
      </c>
    </row>
    <row r="4" spans="1:10" ht="19.5" customHeight="1">
      <c r="A4" s="27" t="s">
        <v>157</v>
      </c>
      <c r="B4" s="74">
        <v>3000</v>
      </c>
      <c r="C4" s="27" t="s">
        <v>158</v>
      </c>
      <c r="D4" s="31"/>
    </row>
    <row r="5" spans="1:10" ht="19.5" customHeight="1">
      <c r="A5" s="27" t="s">
        <v>125</v>
      </c>
      <c r="B5" s="74">
        <v>5000</v>
      </c>
      <c r="C5" s="27" t="s">
        <v>159</v>
      </c>
      <c r="D5" s="31"/>
    </row>
    <row r="6" spans="1:10" ht="19.5" customHeight="1">
      <c r="A6" s="27" t="s">
        <v>132</v>
      </c>
      <c r="B6" s="74">
        <v>10000</v>
      </c>
      <c r="C6" s="27" t="s">
        <v>160</v>
      </c>
      <c r="D6" s="31"/>
    </row>
    <row r="7" spans="1:10" ht="19.5" customHeight="1">
      <c r="A7" s="31"/>
      <c r="B7" s="38"/>
      <c r="C7" s="31"/>
      <c r="D7" s="31"/>
    </row>
    <row r="8" spans="1:10" ht="19.5" customHeight="1">
      <c r="A8" s="29"/>
      <c r="B8" s="35"/>
      <c r="C8" s="29"/>
      <c r="D8" s="29"/>
    </row>
    <row r="9" spans="1:10" ht="19.5" customHeight="1">
      <c r="A9" s="31"/>
      <c r="B9" s="38"/>
      <c r="C9" s="31"/>
      <c r="D9" s="31"/>
    </row>
    <row r="10" spans="1:10" ht="19.5" customHeight="1">
      <c r="A10" s="29"/>
      <c r="B10" s="35"/>
      <c r="C10" s="29"/>
      <c r="D10" s="29"/>
    </row>
    <row r="11" spans="1:10" ht="19.5" customHeight="1">
      <c r="A11" s="31"/>
      <c r="B11" s="38"/>
      <c r="C11" s="31"/>
      <c r="D11" s="31"/>
    </row>
    <row r="12" spans="1:10" ht="19.5" customHeight="1">
      <c r="A12" s="29"/>
      <c r="B12" s="35"/>
      <c r="C12" s="29"/>
      <c r="D12" s="29"/>
    </row>
    <row r="13" spans="1:10" ht="19.5" customHeight="1">
      <c r="A13" s="31"/>
      <c r="B13" s="38"/>
      <c r="C13" s="31"/>
      <c r="D13" s="31"/>
    </row>
    <row r="14" spans="1:10" ht="19.5" customHeight="1">
      <c r="A14" s="29"/>
      <c r="B14" s="35"/>
      <c r="C14" s="29"/>
      <c r="D14" s="29"/>
    </row>
    <row r="15" spans="1:10" ht="19.5" customHeight="1">
      <c r="A15" s="31"/>
      <c r="B15" s="38"/>
      <c r="C15" s="31"/>
      <c r="D15" s="31"/>
    </row>
    <row r="16" spans="1:10" ht="19.5" customHeight="1">
      <c r="A16" s="29"/>
      <c r="B16" s="35"/>
      <c r="C16" s="29"/>
      <c r="D16" s="29"/>
    </row>
    <row r="17" spans="1:4" ht="19.5" customHeight="1">
      <c r="A17" s="31"/>
      <c r="B17" s="38"/>
      <c r="C17" s="31"/>
      <c r="D17" s="31"/>
    </row>
    <row r="18" spans="1:4" ht="19.5" customHeight="1">
      <c r="A18" s="29"/>
      <c r="B18" s="35"/>
      <c r="C18" s="29"/>
      <c r="D18" s="29"/>
    </row>
    <row r="19" spans="1:4" ht="19.5" customHeight="1">
      <c r="A19" s="31"/>
      <c r="B19" s="38"/>
      <c r="C19" s="31"/>
      <c r="D19" s="31"/>
    </row>
    <row r="20" spans="1:4" ht="19.5" customHeight="1">
      <c r="A20" s="29"/>
      <c r="B20" s="35"/>
      <c r="C20" s="29"/>
      <c r="D20" s="29"/>
    </row>
  </sheetData>
  <mergeCells count="2">
    <mergeCell ref="A1:J1"/>
    <mergeCell ref="A2:J2"/>
  </mergeCells>
  <phoneticPr fontId="37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559A"/>
  </sheetPr>
  <dimension ref="A1:J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/>
  <cols>
    <col min="1" max="1" width="20" customWidth="1"/>
    <col min="2" max="2" width="18" customWidth="1"/>
    <col min="3" max="3" width="10" customWidth="1"/>
  </cols>
  <sheetData>
    <row r="1" spans="1:10" ht="24" customHeight="1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>
      <c r="A2" s="8" t="s">
        <v>162</v>
      </c>
      <c r="B2" s="8"/>
      <c r="C2" s="8"/>
      <c r="D2" s="8"/>
      <c r="E2" s="8"/>
      <c r="F2" s="8"/>
      <c r="G2" s="8"/>
      <c r="H2" s="8"/>
      <c r="I2" s="8"/>
      <c r="J2" s="8"/>
    </row>
    <row r="4" spans="1:10" ht="21.75" customHeight="1">
      <c r="A4" s="75" t="s">
        <v>163</v>
      </c>
    </row>
    <row r="5" spans="1:10" ht="25.5" customHeight="1">
      <c r="A5" s="51" t="s">
        <v>92</v>
      </c>
      <c r="B5" s="51" t="s">
        <v>164</v>
      </c>
      <c r="C5" s="51" t="s">
        <v>165</v>
      </c>
    </row>
    <row r="6" spans="1:10" ht="19.5" customHeight="1">
      <c r="A6" s="66" t="s">
        <v>95</v>
      </c>
      <c r="B6" s="68">
        <f>IFERROR(SUMPRODUCT(([1]【会員】②引落し管理!$I$4:$I$203="済")*(ISNUMBER([1]【会員】②引落し管理!$B$4:$B$203))*(MONTH([1]【会員】②引落し管理!$B$4:$B$203)=1)*([1]【会員】②引落し管理!$F$4:$F$203)),0)</f>
        <v>0</v>
      </c>
      <c r="C6" s="76">
        <f>IFERROR(SUMPRODUCT(([1]【会員】②引落し管理!$I$4:$I$203="済")*(ISNUMBER([1]【会員】②引落し管理!$B$4:$B$203))*(MONTH([1]【会員】②引落し管理!$B$4:$B$203)=1)),0)</f>
        <v>0</v>
      </c>
    </row>
    <row r="7" spans="1:10" ht="19.5" customHeight="1">
      <c r="A7" s="48" t="s">
        <v>96</v>
      </c>
      <c r="B7" s="39">
        <f>IFERROR(SUMPRODUCT(([1]【会員】②引落し管理!$I$4:$I$203="済")*(ISNUMBER([1]【会員】②引落し管理!$B$4:$B$203))*(MONTH([1]【会員】②引落し管理!$B$4:$B$203)=2)*([1]【会員】②引落し管理!$F$4:$F$203)),0)</f>
        <v>0</v>
      </c>
      <c r="C7" s="49">
        <f>IFERROR(SUMPRODUCT(([1]【会員】②引落し管理!$I$4:$I$203="済")*(ISNUMBER([1]【会員】②引落し管理!$B$4:$B$203))*(MONTH([1]【会員】②引落し管理!$B$4:$B$203)=2)),0)</f>
        <v>0</v>
      </c>
    </row>
    <row r="8" spans="1:10" ht="19.5" customHeight="1">
      <c r="A8" s="66" t="s">
        <v>97</v>
      </c>
      <c r="B8" s="68">
        <f>IFERROR(SUMPRODUCT(([1]【会員】②引落し管理!$I$4:$I$203="済")*(ISNUMBER([1]【会員】②引落し管理!$B$4:$B$203))*(MONTH([1]【会員】②引落し管理!$B$4:$B$203)=3)*([1]【会員】②引落し管理!$F$4:$F$203)),0)</f>
        <v>0</v>
      </c>
      <c r="C8" s="76">
        <f>IFERROR(SUMPRODUCT(([1]【会員】②引落し管理!$I$4:$I$203="済")*(ISNUMBER([1]【会員】②引落し管理!$B$4:$B$203))*(MONTH([1]【会員】②引落し管理!$B$4:$B$203)=3)),0)</f>
        <v>0</v>
      </c>
    </row>
    <row r="9" spans="1:10" ht="19.5" customHeight="1">
      <c r="A9" s="48" t="s">
        <v>98</v>
      </c>
      <c r="B9" s="39">
        <f>IFERROR(SUMPRODUCT(([1]【会員】②引落し管理!$I$4:$I$203="済")*(ISNUMBER([1]【会員】②引落し管理!$B$4:$B$203))*(MONTH([1]【会員】②引落し管理!$B$4:$B$203)=4)*([1]【会員】②引落し管理!$F$4:$F$203)),0)</f>
        <v>0</v>
      </c>
      <c r="C9" s="49">
        <f>IFERROR(SUMPRODUCT(([1]【会員】②引落し管理!$I$4:$I$203="済")*(ISNUMBER([1]【会員】②引落し管理!$B$4:$B$203))*(MONTH([1]【会員】②引落し管理!$B$4:$B$203)=4)),0)</f>
        <v>0</v>
      </c>
    </row>
    <row r="10" spans="1:10" ht="19.5" customHeight="1">
      <c r="A10" s="66" t="s">
        <v>99</v>
      </c>
      <c r="B10" s="68">
        <f>IFERROR(SUMPRODUCT(([1]【会員】②引落し管理!$I$4:$I$203="済")*(ISNUMBER([1]【会員】②引落し管理!$B$4:$B$203))*(MONTH([1]【会員】②引落し管理!$B$4:$B$203)=5)*([1]【会員】②引落し管理!$F$4:$F$203)),0)</f>
        <v>0</v>
      </c>
      <c r="C10" s="76">
        <f>IFERROR(SUMPRODUCT(([1]【会員】②引落し管理!$I$4:$I$203="済")*(ISNUMBER([1]【会員】②引落し管理!$B$4:$B$203))*(MONTH([1]【会員】②引落し管理!$B$4:$B$203)=5)),0)</f>
        <v>0</v>
      </c>
    </row>
    <row r="11" spans="1:10" ht="19.5" customHeight="1">
      <c r="A11" s="48" t="s">
        <v>100</v>
      </c>
      <c r="B11" s="39">
        <f>IFERROR(SUMPRODUCT(([1]【会員】②引落し管理!$I$4:$I$203="済")*(ISNUMBER([1]【会員】②引落し管理!$B$4:$B$203))*(MONTH([1]【会員】②引落し管理!$B$4:$B$203)=6)*([1]【会員】②引落し管理!$F$4:$F$203)),0)</f>
        <v>0</v>
      </c>
      <c r="C11" s="49">
        <f>IFERROR(SUMPRODUCT(([1]【会員】②引落し管理!$I$4:$I$203="済")*(ISNUMBER([1]【会員】②引落し管理!$B$4:$B$203))*(MONTH([1]【会員】②引落し管理!$B$4:$B$203)=6)),0)</f>
        <v>0</v>
      </c>
    </row>
    <row r="12" spans="1:10" ht="19.5" customHeight="1">
      <c r="A12" s="66" t="s">
        <v>101</v>
      </c>
      <c r="B12" s="68">
        <f>IFERROR(SUMPRODUCT(([1]【会員】②引落し管理!$I$4:$I$203="済")*(ISNUMBER([1]【会員】②引落し管理!$B$4:$B$203))*(MONTH([1]【会員】②引落し管理!$B$4:$B$203)=7)*([1]【会員】②引落し管理!$F$4:$F$203)),0)</f>
        <v>0</v>
      </c>
      <c r="C12" s="76">
        <f>IFERROR(SUMPRODUCT(([1]【会員】②引落し管理!$I$4:$I$203="済")*(ISNUMBER([1]【会員】②引落し管理!$B$4:$B$203))*(MONTH([1]【会員】②引落し管理!$B$4:$B$203)=7)),0)</f>
        <v>0</v>
      </c>
    </row>
    <row r="13" spans="1:10" ht="19.5" customHeight="1">
      <c r="A13" s="48" t="s">
        <v>102</v>
      </c>
      <c r="B13" s="39">
        <f>IFERROR(SUMPRODUCT(([1]【会員】②引落し管理!$I$4:$I$203="済")*(ISNUMBER([1]【会員】②引落し管理!$B$4:$B$203))*(MONTH([1]【会員】②引落し管理!$B$4:$B$203)=8)*([1]【会員】②引落し管理!$F$4:$F$203)),0)</f>
        <v>0</v>
      </c>
      <c r="C13" s="49">
        <f>IFERROR(SUMPRODUCT(([1]【会員】②引落し管理!$I$4:$I$203="済")*(ISNUMBER([1]【会員】②引落し管理!$B$4:$B$203))*(MONTH([1]【会員】②引落し管理!$B$4:$B$203)=8)),0)</f>
        <v>0</v>
      </c>
    </row>
    <row r="14" spans="1:10" ht="19.5" customHeight="1">
      <c r="A14" s="66" t="s">
        <v>103</v>
      </c>
      <c r="B14" s="68">
        <f>IFERROR(SUMPRODUCT(([1]【会員】②引落し管理!$I$4:$I$203="済")*(ISNUMBER([1]【会員】②引落し管理!$B$4:$B$203))*(MONTH([1]【会員】②引落し管理!$B$4:$B$203)=9)*([1]【会員】②引落し管理!$F$4:$F$203)),0)</f>
        <v>0</v>
      </c>
      <c r="C14" s="76">
        <f>IFERROR(SUMPRODUCT(([1]【会員】②引落し管理!$I$4:$I$203="済")*(ISNUMBER([1]【会員】②引落し管理!$B$4:$B$203))*(MONTH([1]【会員】②引落し管理!$B$4:$B$203)=9)),0)</f>
        <v>0</v>
      </c>
    </row>
    <row r="15" spans="1:10" ht="19.5" customHeight="1">
      <c r="A15" s="48" t="s">
        <v>104</v>
      </c>
      <c r="B15" s="39">
        <f>IFERROR(SUMPRODUCT(([1]【会員】②引落し管理!$I$4:$I$203="済")*(ISNUMBER([1]【会員】②引落し管理!$B$4:$B$203))*(MONTH([1]【会員】②引落し管理!$B$4:$B$203)=10)*([1]【会員】②引落し管理!$F$4:$F$203)),0)</f>
        <v>0</v>
      </c>
      <c r="C15" s="49">
        <f>IFERROR(SUMPRODUCT(([1]【会員】②引落し管理!$I$4:$I$203="済")*(ISNUMBER([1]【会員】②引落し管理!$B$4:$B$203))*(MONTH([1]【会員】②引落し管理!$B$4:$B$203)=10)),0)</f>
        <v>0</v>
      </c>
    </row>
    <row r="16" spans="1:10" ht="19.5" customHeight="1">
      <c r="A16" s="66" t="s">
        <v>105</v>
      </c>
      <c r="B16" s="68">
        <f>IFERROR(SUMPRODUCT(([1]【会員】②引落し管理!$I$4:$I$203="済")*(ISNUMBER([1]【会員】②引落し管理!$B$4:$B$203))*(MONTH([1]【会員】②引落し管理!$B$4:$B$203)=11)*([1]【会員】②引落し管理!$F$4:$F$203)),0)</f>
        <v>0</v>
      </c>
      <c r="C16" s="76">
        <f>IFERROR(SUMPRODUCT(([1]【会員】②引落し管理!$I$4:$I$203="済")*(ISNUMBER([1]【会員】②引落し管理!$B$4:$B$203))*(MONTH([1]【会員】②引落し管理!$B$4:$B$203)=11)),0)</f>
        <v>0</v>
      </c>
    </row>
    <row r="17" spans="1:3" ht="19.5" customHeight="1">
      <c r="A17" s="48" t="s">
        <v>106</v>
      </c>
      <c r="B17" s="39">
        <f>IFERROR(SUMPRODUCT(([1]【会員】②引落し管理!$I$4:$I$203="済")*(ISNUMBER([1]【会員】②引落し管理!$B$4:$B$203))*(MONTH([1]【会員】②引落し管理!$B$4:$B$203)=12)*([1]【会員】②引落し管理!$F$4:$F$203)),0)</f>
        <v>0</v>
      </c>
      <c r="C17" s="49">
        <f>IFERROR(SUMPRODUCT(([1]【会員】②引落し管理!$I$4:$I$203="済")*(ISNUMBER([1]【会員】②引落し管理!$B$4:$B$203))*(MONTH([1]【会員】②引落し管理!$B$4:$B$203)=12)),0)</f>
        <v>0</v>
      </c>
    </row>
    <row r="18" spans="1:3" ht="24" customHeight="1">
      <c r="A18" s="51" t="s">
        <v>107</v>
      </c>
      <c r="B18" s="77">
        <f>SUM(B6:B17)</f>
        <v>0</v>
      </c>
      <c r="C18" s="51">
        <f>SUM(C6:C17)</f>
        <v>0</v>
      </c>
    </row>
    <row r="20" spans="1:3" ht="21.75" customHeight="1">
      <c r="A20" s="75" t="s">
        <v>166</v>
      </c>
    </row>
    <row r="21" spans="1:3" ht="25.5" customHeight="1">
      <c r="A21" s="51" t="s">
        <v>155</v>
      </c>
      <c r="B21" s="51" t="s">
        <v>165</v>
      </c>
      <c r="C21" s="51" t="s">
        <v>167</v>
      </c>
    </row>
    <row r="22" spans="1:3" ht="19.5" customHeight="1">
      <c r="A22" s="78" t="str">
        <f>IFERROR(【会員】③プランマスタ!A4,"")</f>
        <v>ライト</v>
      </c>
      <c r="B22" s="79">
        <f>COUNTIFS(【会員】①会員マスタ!$F$4:$F$105,A22,【会員】①会員マスタ!$I$4:$I$105,"在籍")</f>
        <v>0</v>
      </c>
      <c r="C22" s="80">
        <f>IFERROR(B22/SUM($B$22:$B$24),"")</f>
        <v>0</v>
      </c>
    </row>
    <row r="23" spans="1:3" ht="19.5" customHeight="1">
      <c r="A23" s="78" t="str">
        <f>IFERROR(【会員】③プランマスタ!A5,"")</f>
        <v>スタンダード</v>
      </c>
      <c r="B23" s="79">
        <f>COUNTIFS(【会員】①会員マスタ!$F$4:$F$105,A23,【会員】①会員マスタ!$I$4:$I$105,"在籍")</f>
        <v>1</v>
      </c>
      <c r="C23" s="80">
        <f>IFERROR(B23/SUM($B$22:$B$24),"")</f>
        <v>1</v>
      </c>
    </row>
    <row r="24" spans="1:3" ht="19.5" customHeight="1">
      <c r="A24" s="78" t="str">
        <f>IFERROR(【会員】③プランマスタ!A6,"")</f>
        <v>プレミアム</v>
      </c>
      <c r="B24" s="79">
        <f>COUNTIFS(【会員】①会員マスタ!$F$4:$F$105,A24,【会員】①会員マスタ!$I$4:$I$105,"在籍")</f>
        <v>0</v>
      </c>
      <c r="C24" s="80">
        <f>IFERROR(B24/SUM($B$22:$B$24),"")</f>
        <v>0</v>
      </c>
    </row>
  </sheetData>
  <mergeCells count="2">
    <mergeCell ref="A1:J1"/>
    <mergeCell ref="A2:J2"/>
  </mergeCells>
  <phoneticPr fontId="37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📋 使い方ガイド</vt:lpstr>
      <vt:lpstr>【台帳】①顧客マスタ</vt:lpstr>
      <vt:lpstr>【台帳】②購買記録</vt:lpstr>
      <vt:lpstr>【台帳】③顧客カルテ</vt:lpstr>
      <vt:lpstr>【台帳】④売上分析</vt:lpstr>
      <vt:lpstr>【会員】①会員マスタ</vt:lpstr>
      <vt:lpstr>【会員】②CSVペースト</vt:lpstr>
      <vt:lpstr>【会員】③引落し管理</vt:lpstr>
      <vt:lpstr>【会員】③プランマスタ</vt:lpstr>
      <vt:lpstr>【会員】④売上分析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hiromi mitugi</cp:lastModifiedBy>
  <cp:revision>5</cp:revision>
  <dcterms:created xsi:type="dcterms:W3CDTF">2026-05-28T09:01:44Z</dcterms:created>
  <dcterms:modified xsi:type="dcterms:W3CDTF">2026-05-29T02:57:20Z</dcterms:modified>
  <dc:language>en-US</dc:language>
</cp:coreProperties>
</file>